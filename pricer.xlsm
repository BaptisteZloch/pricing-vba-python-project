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touan\Desktop\M2 EIF\S1\Info-quant\Projet\pricing-vba-python-project\"/>
    </mc:Choice>
  </mc:AlternateContent>
  <xr:revisionPtr revIDLastSave="0" documentId="13_ncr:1_{9E0B5433-5AE5-446D-81B3-D4FD1AD5097F}" xr6:coauthVersionLast="47" xr6:coauthVersionMax="47" xr10:uidLastSave="{00000000-0000-0000-0000-000000000000}"/>
  <bookViews>
    <workbookView minimized="1" xWindow="0" yWindow="3384" windowWidth="17280" windowHeight="8976" xr2:uid="{6B07C272-E56D-4F15-92B8-A1DE9EAB8507}"/>
  </bookViews>
  <sheets>
    <sheet name="parametres" sheetId="1" r:id="rId1"/>
    <sheet name="plot" sheetId="3" r:id="rId2"/>
    <sheet name="result" sheetId="2" r:id="rId3"/>
  </sheets>
  <definedNames>
    <definedName name="alpha">parametres!$B$18</definedName>
    <definedName name="delta_t">parametres!$B$17</definedName>
    <definedName name="deltat_bis">parametres!$B$17</definedName>
    <definedName name="div">parametres!$B$5</definedName>
    <definedName name="div_ex_date">parametres!$B$6</definedName>
    <definedName name="exercice">parametres!$B$10</definedName>
    <definedName name="exercise">parametres!$B$10</definedName>
    <definedName name="maturity">parametres!$B$12</definedName>
    <definedName name="nb_step">parametres!$B$16</definedName>
    <definedName name="pricing_date">parametres!$B$15</definedName>
    <definedName name="rate">parametres!$B$2</definedName>
    <definedName name="spot">parametres!$B$4</definedName>
    <definedName name="strike">parametres!$B$11</definedName>
    <definedName name="type">parametres!$B$9</definedName>
    <definedName name="vol">parametres!$B$3</definedName>
    <definedName name="vol_bis">parametres!$B$3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" l="1"/>
  <c r="B18" i="1" s="1"/>
</calcChain>
</file>

<file path=xl/sharedStrings.xml><?xml version="1.0" encoding="utf-8"?>
<sst xmlns="http://schemas.openxmlformats.org/spreadsheetml/2006/main" count="38" uniqueCount="36">
  <si>
    <t>market</t>
  </si>
  <si>
    <t>rate</t>
  </si>
  <si>
    <t>vol</t>
  </si>
  <si>
    <t>spot</t>
  </si>
  <si>
    <t>€</t>
  </si>
  <si>
    <t>div</t>
  </si>
  <si>
    <t>div ex-date</t>
  </si>
  <si>
    <t>option</t>
  </si>
  <si>
    <t>type</t>
  </si>
  <si>
    <t>call/put</t>
  </si>
  <si>
    <t>exercice</t>
  </si>
  <si>
    <t>am/euro</t>
  </si>
  <si>
    <t>strike</t>
  </si>
  <si>
    <t>maturity</t>
  </si>
  <si>
    <t>model</t>
  </si>
  <si>
    <t>pricing date</t>
  </si>
  <si>
    <t>nb step</t>
  </si>
  <si>
    <t>delta t</t>
  </si>
  <si>
    <t>y</t>
  </si>
  <si>
    <t>alpha</t>
  </si>
  <si>
    <t>Start date</t>
  </si>
  <si>
    <t>Start price</t>
  </si>
  <si>
    <t>Rate</t>
  </si>
  <si>
    <t>Volatility</t>
  </si>
  <si>
    <t>Div ex-date</t>
  </si>
  <si>
    <t>Maturity</t>
  </si>
  <si>
    <t>Type</t>
  </si>
  <si>
    <t>Exercise</t>
  </si>
  <si>
    <t>Strike</t>
  </si>
  <si>
    <t>Nb steps</t>
  </si>
  <si>
    <t>VBA</t>
  </si>
  <si>
    <t>Python</t>
  </si>
  <si>
    <t>BS</t>
  </si>
  <si>
    <t>Gap VBA-BS</t>
  </si>
  <si>
    <t>Gap Python-BS</t>
  </si>
  <si>
    <t>Gap VBA-Python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</si>
</sst>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0" applyNumberFormat="1"/>
    <xf numFmtId="0" fontId="0" fillId="0" borderId="5" xfId="0" applyBorder="1"/>
    <xf numFmtId="0" fontId="0" fillId="0" borderId="6" xfId="0" applyBorder="1"/>
    <xf numFmtId="14" fontId="0" fillId="0" borderId="7" xfId="0" applyNumberFormat="1" applyBorder="1"/>
    <xf numFmtId="0" fontId="0" fillId="0" borderId="8" xfId="0" applyBorder="1"/>
    <xf numFmtId="0" fontId="0" fillId="0" borderId="4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45F04-6FCD-46FB-96DB-C747098D5F20}">
  <sheetPr codeName="Feuil1"/>
  <dimension ref="A1:C18"/>
  <sheetViews>
    <sheetView tabSelected="1" zoomScale="79" workbookViewId="0">
      <selection activeCell="B12" sqref="B12"/>
    </sheetView>
  </sheetViews>
  <sheetFormatPr baseColWidth="10" defaultRowHeight="14.4" x14ac:dyDescent="0.3"/>
  <cols>
    <col min="1" max="1" width="10.44140625" bestFit="1" customWidth="1"/>
    <col min="2" max="2" width="12" bestFit="1" customWidth="1"/>
    <col min="3" max="3" width="2" bestFit="1" customWidth="1"/>
  </cols>
  <sheetData>
    <row r="1" spans="1:3" x14ac:dyDescent="0.3">
      <c r="A1" s="1" t="s">
        <v>0</v>
      </c>
      <c r="B1" s="2"/>
      <c r="C1" s="3"/>
    </row>
    <row r="2" spans="1:3" x14ac:dyDescent="0.3">
      <c r="A2" s="4" t="s">
        <v>1</v>
      </c>
      <c r="B2" s="5">
        <v>0.04</v>
      </c>
      <c r="C2" s="6"/>
    </row>
    <row r="3" spans="1:3" x14ac:dyDescent="0.3">
      <c r="A3" s="4" t="s">
        <v>2</v>
      </c>
      <c r="B3" s="5">
        <v>0.25</v>
      </c>
      <c r="C3" s="6"/>
    </row>
    <row r="4" spans="1:3" x14ac:dyDescent="0.3">
      <c r="A4" s="4" t="s">
        <v>3</v>
      </c>
      <c r="B4">
        <v>100</v>
      </c>
      <c r="C4" s="6" t="s">
        <v>4</v>
      </c>
    </row>
    <row r="5" spans="1:3" x14ac:dyDescent="0.3">
      <c r="A5" s="4" t="s">
        <v>5</v>
      </c>
      <c r="B5">
        <v>0</v>
      </c>
      <c r="C5" s="6" t="s">
        <v>4</v>
      </c>
    </row>
    <row r="6" spans="1:3" ht="15" thickBot="1" x14ac:dyDescent="0.35">
      <c r="A6" s="7" t="s">
        <v>6</v>
      </c>
      <c r="B6" s="8">
        <v>45436</v>
      </c>
      <c r="C6" s="9"/>
    </row>
    <row r="7" spans="1:3" ht="15" thickBot="1" x14ac:dyDescent="0.35"/>
    <row r="8" spans="1:3" x14ac:dyDescent="0.3">
      <c r="A8" s="1" t="s">
        <v>7</v>
      </c>
      <c r="B8" s="2"/>
      <c r="C8" s="3"/>
    </row>
    <row r="9" spans="1:3" x14ac:dyDescent="0.3">
      <c r="A9" s="4" t="s">
        <v>8</v>
      </c>
      <c r="B9" t="s">
        <v>9</v>
      </c>
      <c r="C9" s="6"/>
    </row>
    <row r="10" spans="1:3" x14ac:dyDescent="0.3">
      <c r="A10" s="4" t="s">
        <v>10</v>
      </c>
      <c r="B10" t="s">
        <v>11</v>
      </c>
      <c r="C10" s="6"/>
    </row>
    <row r="11" spans="1:3" x14ac:dyDescent="0.3">
      <c r="A11" s="4" t="s">
        <v>12</v>
      </c>
      <c r="B11">
        <v>102</v>
      </c>
      <c r="C11" s="6" t="s">
        <v>4</v>
      </c>
    </row>
    <row r="12" spans="1:3" ht="15" thickBot="1" x14ac:dyDescent="0.35">
      <c r="A12" s="7" t="s">
        <v>13</v>
      </c>
      <c r="B12" s="8">
        <v>45555</v>
      </c>
      <c r="C12" s="9"/>
    </row>
    <row r="13" spans="1:3" ht="15" thickBot="1" x14ac:dyDescent="0.35"/>
    <row r="14" spans="1:3" x14ac:dyDescent="0.3">
      <c r="A14" s="1" t="s">
        <v>14</v>
      </c>
      <c r="B14" s="2"/>
      <c r="C14" s="3"/>
    </row>
    <row r="15" spans="1:3" x14ac:dyDescent="0.3">
      <c r="A15" s="10" t="s">
        <v>15</v>
      </c>
      <c r="B15" s="11">
        <v>45190</v>
      </c>
      <c r="C15" s="6"/>
    </row>
    <row r="16" spans="1:3" x14ac:dyDescent="0.3">
      <c r="A16" s="4" t="s">
        <v>16</v>
      </c>
      <c r="B16">
        <v>1</v>
      </c>
      <c r="C16" s="6"/>
    </row>
    <row r="17" spans="1:3" x14ac:dyDescent="0.3">
      <c r="A17" s="4" t="s">
        <v>17</v>
      </c>
      <c r="B17">
        <f>((maturity-pricing_date)/nb_step)/365</f>
        <v>1</v>
      </c>
      <c r="C17" s="6" t="s">
        <v>18</v>
      </c>
    </row>
    <row r="18" spans="1:3" ht="15" thickBot="1" x14ac:dyDescent="0.35">
      <c r="A18" s="7" t="s">
        <v>19</v>
      </c>
      <c r="B18" s="12">
        <f>EXP(vol_bis*SQRT(3*deltat_bis))</f>
        <v>1.5418958055705854</v>
      </c>
      <c r="C18" s="9"/>
    </row>
  </sheetData>
  <mergeCells count="3">
    <mergeCell ref="A1:B1"/>
    <mergeCell ref="A8:B8"/>
    <mergeCell ref="A14:B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C6FDC-9AB4-4054-9CE5-49892487650A}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B07AD-87AC-4BD4-B10E-C5A9D3D40FD7}">
  <sheetPr codeName="Feuil2"/>
  <dimension ref="A1:P1"/>
  <sheetViews>
    <sheetView workbookViewId="0">
      <selection activeCell="E6" sqref="E6"/>
    </sheetView>
  </sheetViews>
  <sheetFormatPr baseColWidth="10" defaultRowHeight="14.4" x14ac:dyDescent="0.3"/>
  <cols>
    <col min="1" max="1" width="9" bestFit="1" customWidth="1"/>
    <col min="2" max="2" width="9.33203125" bestFit="1" customWidth="1"/>
    <col min="3" max="3" width="4.77734375" bestFit="1" customWidth="1"/>
    <col min="4" max="4" width="8.21875" bestFit="1" customWidth="1"/>
    <col min="5" max="5" width="10.21875" bestFit="1" customWidth="1"/>
    <col min="6" max="6" width="8" bestFit="1" customWidth="1"/>
    <col min="7" max="7" width="4.88671875" bestFit="1" customWidth="1"/>
    <col min="8" max="8" width="7.6640625" bestFit="1" customWidth="1"/>
    <col min="9" max="9" width="5.5546875" bestFit="1" customWidth="1"/>
    <col min="10" max="10" width="8" bestFit="1" customWidth="1"/>
    <col min="11" max="11" width="4.33203125" bestFit="1" customWidth="1"/>
    <col min="12" max="12" width="6.6640625" bestFit="1" customWidth="1"/>
    <col min="13" max="13" width="4.6640625" customWidth="1"/>
    <col min="14" max="14" width="10.6640625" bestFit="1" customWidth="1"/>
    <col min="15" max="15" width="13" bestFit="1" customWidth="1"/>
    <col min="16" max="16" width="14.33203125" bestFit="1" customWidth="1"/>
  </cols>
  <sheetData>
    <row r="1" spans="1:16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16</vt:i4>
      </vt:variant>
    </vt:vector>
  </HeadingPairs>
  <TitlesOfParts>
    <vt:vector size="19" baseType="lpstr">
      <vt:lpstr>parametres</vt:lpstr>
      <vt:lpstr>plot</vt:lpstr>
      <vt:lpstr>result</vt:lpstr>
      <vt:lpstr>alpha</vt:lpstr>
      <vt:lpstr>delta_t</vt:lpstr>
      <vt:lpstr>deltat_bis</vt:lpstr>
      <vt:lpstr>div</vt:lpstr>
      <vt:lpstr>div_ex_date</vt:lpstr>
      <vt:lpstr>exercice</vt:lpstr>
      <vt:lpstr>exercise</vt:lpstr>
      <vt:lpstr>maturity</vt:lpstr>
      <vt:lpstr>nb_step</vt:lpstr>
      <vt:lpstr>pricing_date</vt:lpstr>
      <vt:lpstr>rate</vt:lpstr>
      <vt:lpstr>spot</vt:lpstr>
      <vt:lpstr>strike</vt:lpstr>
      <vt:lpstr>type</vt:lpstr>
      <vt:lpstr>vol</vt:lpstr>
      <vt:lpstr>vol_bis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Titouan Cadiou</dc:creator>
  <cp:lastModifiedBy>Titouan Cadiou</cp:lastModifiedBy>
  <dcterms:created xsi:type="dcterms:W3CDTF">2023-09-25T10:52:14Z</dcterms:created>
  <dcterms:modified xsi:type="dcterms:W3CDTF">2023-09-26T14:58:54Z</dcterms:modified>
</cp:coreProperties>
</file>