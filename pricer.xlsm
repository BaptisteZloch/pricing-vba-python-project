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touan\Desktop\M2 EIF\S1\Info-quant\Projet\pricing-vba-python-project\"/>
    </mc:Choice>
  </mc:AlternateContent>
  <xr:revisionPtr revIDLastSave="0" documentId="13_ncr:1_{CA2474AA-C73A-43BC-B120-5E3D63AE1D26}" xr6:coauthVersionLast="47" xr6:coauthVersionMax="47" xr10:uidLastSave="{00000000-0000-0000-0000-000000000000}"/>
  <bookViews>
    <workbookView xWindow="-84" yWindow="3252" windowWidth="17280" windowHeight="8964" xr2:uid="{6B07C272-E56D-4F15-92B8-A1DE9EAB8507}"/>
  </bookViews>
  <sheets>
    <sheet name="parametres" sheetId="1" r:id="rId1"/>
    <sheet name="plot" sheetId="3" r:id="rId2"/>
    <sheet name="result" sheetId="2" r:id="rId3"/>
  </sheets>
  <definedNames>
    <definedName name="_xlnm._FilterDatabase" localSheetId="0" hidden="1">parametres!$D$16:$F$20</definedName>
    <definedName name="alpha">parametres!$E$26</definedName>
    <definedName name="delta_t">parametres!$E$25</definedName>
    <definedName name="deltat_bis">parametres!#REF!</definedName>
    <definedName name="div">parametres!$E$13</definedName>
    <definedName name="div_ex_date">parametres!$E$14</definedName>
    <definedName name="exercice">parametres!#REF!</definedName>
    <definedName name="exercise">parametres!$E$18</definedName>
    <definedName name="maturity">parametres!$E$20</definedName>
    <definedName name="multiplicateur">L27C5</definedName>
    <definedName name="multiplicateur_delta">parametres!$E$27</definedName>
    <definedName name="nb_step">parametres!$E$24</definedName>
    <definedName name="pricing_date">parametres!$E$23</definedName>
    <definedName name="rate">parametres!$E$10</definedName>
    <definedName name="spot">parametres!$E$12</definedName>
    <definedName name="strike">parametres!$E$19</definedName>
    <definedName name="type">parametres!$E$17</definedName>
    <definedName name="vol">parametres!$E$11</definedName>
    <definedName name="vol_bis">parametres!#REF!</definedName>
    <definedName name="volatility">parametres!$E$11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26" i="1" s="1"/>
  <c r="E27" i="1"/>
</calcChain>
</file>

<file path=xl/sharedStrings.xml><?xml version="1.0" encoding="utf-8"?>
<sst xmlns="http://schemas.openxmlformats.org/spreadsheetml/2006/main" count="72" uniqueCount="38">
  <si>
    <t>€</t>
  </si>
  <si>
    <t>y</t>
  </si>
  <si>
    <t>Start date</t>
  </si>
  <si>
    <t>Start price</t>
  </si>
  <si>
    <t>Rate</t>
  </si>
  <si>
    <t>Volatility</t>
  </si>
  <si>
    <t>Div ex-date</t>
  </si>
  <si>
    <t>Maturity</t>
  </si>
  <si>
    <t>Type</t>
  </si>
  <si>
    <t>Exercise</t>
  </si>
  <si>
    <t>Strike</t>
  </si>
  <si>
    <t>Nb steps</t>
  </si>
  <si>
    <t>VBA</t>
  </si>
  <si>
    <t>Python</t>
  </si>
  <si>
    <t>BS</t>
  </si>
  <si>
    <t>Gap VBA-BS</t>
  </si>
  <si>
    <t>Gap Python-BS</t>
  </si>
  <si>
    <t>Gap VBA-Python</t>
  </si>
  <si>
    <t>Call</t>
  </si>
  <si>
    <t>Europeen</t>
  </si>
  <si>
    <t>Pricing</t>
  </si>
  <si>
    <t>Execution Time</t>
  </si>
  <si>
    <t>Spot price</t>
  </si>
  <si>
    <t>Dividend price</t>
  </si>
  <si>
    <t>Dividend exercise-date</t>
  </si>
  <si>
    <t>Strike price</t>
  </si>
  <si>
    <t>Maturity date</t>
  </si>
  <si>
    <t>Pricing date</t>
  </si>
  <si>
    <t>Step number</t>
  </si>
  <si>
    <t>Delta t</t>
  </si>
  <si>
    <t>Alpha</t>
  </si>
  <si>
    <t>Multiplicateur</t>
  </si>
  <si>
    <t>Recursif</t>
  </si>
  <si>
    <t>Non-recrusif</t>
  </si>
  <si>
    <t>Black-Scholes</t>
  </si>
  <si>
    <t>Market</t>
  </si>
  <si>
    <t>Option</t>
  </si>
  <si>
    <t>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</si>
</sst>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66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4" borderId="0" xfId="0" applyFill="1"/>
    <xf numFmtId="9" fontId="0" fillId="4" borderId="0" xfId="0" applyNumberFormat="1" applyFill="1"/>
    <xf numFmtId="14" fontId="0" fillId="4" borderId="7" xfId="0" applyNumberFormat="1" applyFill="1" applyBorder="1"/>
    <xf numFmtId="0" fontId="0" fillId="4" borderId="5" xfId="0" applyFill="1" applyBorder="1"/>
    <xf numFmtId="0" fontId="0" fillId="4" borderId="8" xfId="0" applyFill="1" applyBorder="1"/>
    <xf numFmtId="14" fontId="0" fillId="4" borderId="0" xfId="0" applyNumberFormat="1" applyFill="1" applyAlignment="1">
      <alignment horizontal="center"/>
    </xf>
    <xf numFmtId="0" fontId="0" fillId="4" borderId="7" xfId="0" applyFill="1" applyBorder="1"/>
    <xf numFmtId="0" fontId="0" fillId="5" borderId="4" xfId="0" applyFill="1" applyBorder="1"/>
    <xf numFmtId="0" fontId="0" fillId="5" borderId="6" xfId="0" applyFill="1" applyBorder="1"/>
    <xf numFmtId="0" fontId="0" fillId="0" borderId="15" xfId="0" applyBorder="1"/>
    <xf numFmtId="0" fontId="0" fillId="4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4" borderId="19" xfId="0" applyFill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4" borderId="22" xfId="0" applyFill="1" applyBorder="1"/>
    <xf numFmtId="0" fontId="0" fillId="0" borderId="23" xfId="0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7" borderId="24" xfId="0" applyFill="1" applyBorder="1"/>
    <xf numFmtId="0" fontId="0" fillId="7" borderId="25" xfId="0" applyFill="1" applyBorder="1"/>
    <xf numFmtId="0" fontId="0" fillId="7" borderId="26" xfId="0" applyFill="1" applyBorder="1"/>
    <xf numFmtId="0" fontId="0" fillId="2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0</xdr:rowOff>
        </xdr:from>
        <xdr:to>
          <xdr:col>8</xdr:col>
          <xdr:colOff>754380</xdr:colOff>
          <xdr:row>13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45F04-6FCD-46FB-96DB-C747098D5F20}">
  <sheetPr codeName="Feuil1"/>
  <dimension ref="A1:X37"/>
  <sheetViews>
    <sheetView tabSelected="1" topLeftCell="A9" zoomScale="80" zoomScaleNormal="80" workbookViewId="0">
      <selection activeCell="E26" sqref="E26"/>
    </sheetView>
  </sheetViews>
  <sheetFormatPr baseColWidth="10" defaultRowHeight="14.4" x14ac:dyDescent="0.3"/>
  <cols>
    <col min="4" max="4" width="21.21875" bestFit="1" customWidth="1"/>
    <col min="6" max="6" width="2" bestFit="1" customWidth="1"/>
  </cols>
  <sheetData>
    <row r="1" spans="1:24" x14ac:dyDescent="0.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</row>
    <row r="2" spans="1:24" x14ac:dyDescent="0.3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spans="1:24" x14ac:dyDescent="0.3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</row>
    <row r="4" spans="1:24" x14ac:dyDescent="0.3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</row>
    <row r="5" spans="1:24" x14ac:dyDescent="0.3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</row>
    <row r="6" spans="1:24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</row>
    <row r="7" spans="1:24" x14ac:dyDescent="0.3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</row>
    <row r="8" spans="1:24" ht="15" thickBot="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">
      <c r="A9" s="1"/>
      <c r="B9" s="1"/>
      <c r="C9" s="1"/>
      <c r="D9" s="53" t="s">
        <v>35</v>
      </c>
      <c r="E9" s="54"/>
      <c r="F9" s="5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">
      <c r="A10" s="1"/>
      <c r="B10" s="1"/>
      <c r="C10" s="1"/>
      <c r="D10" s="8" t="s">
        <v>4</v>
      </c>
      <c r="E10" s="2">
        <v>0.04</v>
      </c>
      <c r="F10" s="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5" thickBot="1" x14ac:dyDescent="0.35">
      <c r="A11" s="1"/>
      <c r="B11" s="1"/>
      <c r="C11" s="1"/>
      <c r="D11" s="8" t="s">
        <v>5</v>
      </c>
      <c r="E11" s="2">
        <v>0.25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4" customHeight="1" x14ac:dyDescent="0.3">
      <c r="A12" s="1"/>
      <c r="B12" s="1"/>
      <c r="C12" s="1"/>
      <c r="D12" s="8" t="s">
        <v>22</v>
      </c>
      <c r="E12" s="1">
        <v>100</v>
      </c>
      <c r="F12" s="4" t="s">
        <v>0</v>
      </c>
      <c r="G12" s="1"/>
      <c r="H12" s="1"/>
      <c r="I12" s="1"/>
      <c r="J12" s="29" t="s">
        <v>20</v>
      </c>
      <c r="K12" s="30"/>
      <c r="L12" s="30"/>
      <c r="M12" s="30"/>
      <c r="N12" s="31"/>
      <c r="O12" s="1"/>
      <c r="P12" s="29" t="s">
        <v>21</v>
      </c>
      <c r="Q12" s="30"/>
      <c r="R12" s="30"/>
      <c r="S12" s="30"/>
      <c r="T12" s="31"/>
      <c r="U12" s="1"/>
      <c r="V12" s="1"/>
      <c r="W12" s="1"/>
      <c r="X12" s="1"/>
    </row>
    <row r="13" spans="1:24" x14ac:dyDescent="0.3">
      <c r="A13" s="1"/>
      <c r="B13" s="1"/>
      <c r="C13" s="1"/>
      <c r="D13" s="8" t="s">
        <v>23</v>
      </c>
      <c r="E13" s="1">
        <v>0</v>
      </c>
      <c r="F13" s="4" t="s">
        <v>0</v>
      </c>
      <c r="G13" s="1"/>
      <c r="H13" s="1"/>
      <c r="I13" s="1"/>
      <c r="J13" s="32"/>
      <c r="K13" s="33"/>
      <c r="L13" s="33"/>
      <c r="M13" s="33"/>
      <c r="N13" s="34"/>
      <c r="O13" s="1"/>
      <c r="P13" s="32"/>
      <c r="Q13" s="33"/>
      <c r="R13" s="33"/>
      <c r="S13" s="33"/>
      <c r="T13" s="34"/>
      <c r="U13" s="1"/>
      <c r="V13" s="1"/>
      <c r="W13" s="1"/>
      <c r="X13" s="1"/>
    </row>
    <row r="14" spans="1:24" ht="15" thickBot="1" x14ac:dyDescent="0.35">
      <c r="A14" s="1"/>
      <c r="B14" s="1"/>
      <c r="C14" s="1"/>
      <c r="D14" s="9" t="s">
        <v>24</v>
      </c>
      <c r="E14" s="3">
        <v>45436</v>
      </c>
      <c r="F14" s="5"/>
      <c r="G14" s="1"/>
      <c r="H14" s="1"/>
      <c r="I14" s="1"/>
      <c r="J14" s="32"/>
      <c r="K14" s="33"/>
      <c r="L14" s="33"/>
      <c r="M14" s="33"/>
      <c r="N14" s="34"/>
      <c r="O14" s="1"/>
      <c r="P14" s="44"/>
      <c r="Q14" s="45"/>
      <c r="R14" s="45"/>
      <c r="S14" s="45"/>
      <c r="T14" s="46"/>
      <c r="U14" s="1"/>
      <c r="V14" s="1"/>
      <c r="W14" s="1"/>
      <c r="X14" s="1"/>
    </row>
    <row r="15" spans="1:24" ht="15" thickBot="1" x14ac:dyDescent="0.35">
      <c r="A15" s="1"/>
      <c r="B15" s="1"/>
      <c r="C15" s="1"/>
      <c r="D15" s="1"/>
      <c r="E15" s="1"/>
      <c r="F15" s="1"/>
      <c r="G15" s="1"/>
      <c r="H15" s="47" t="s">
        <v>32</v>
      </c>
      <c r="I15" s="48"/>
      <c r="J15" s="35"/>
      <c r="K15" s="36"/>
      <c r="L15" s="36"/>
      <c r="M15" s="36"/>
      <c r="N15" s="37"/>
      <c r="O15" s="1"/>
      <c r="P15" s="38"/>
      <c r="Q15" s="39"/>
      <c r="R15" s="39"/>
      <c r="S15" s="39"/>
      <c r="T15" s="40"/>
      <c r="U15" s="1"/>
      <c r="V15" s="1"/>
      <c r="W15" s="1"/>
      <c r="X15" s="1"/>
    </row>
    <row r="16" spans="1:24" x14ac:dyDescent="0.3">
      <c r="A16" s="1"/>
      <c r="B16" s="1"/>
      <c r="C16" s="1"/>
      <c r="D16" s="53" t="s">
        <v>36</v>
      </c>
      <c r="E16" s="54"/>
      <c r="F16" s="55"/>
      <c r="G16" s="1"/>
      <c r="H16" s="49"/>
      <c r="I16" s="50"/>
      <c r="J16" s="38"/>
      <c r="K16" s="39"/>
      <c r="L16" s="39"/>
      <c r="M16" s="39"/>
      <c r="N16" s="40"/>
      <c r="O16" s="1"/>
      <c r="P16" s="38"/>
      <c r="Q16" s="39"/>
      <c r="R16" s="39"/>
      <c r="S16" s="39"/>
      <c r="T16" s="40"/>
      <c r="U16" s="1"/>
      <c r="V16" s="1"/>
      <c r="W16" s="1"/>
      <c r="X16" s="1"/>
    </row>
    <row r="17" spans="1:24" x14ac:dyDescent="0.3">
      <c r="A17" s="1"/>
      <c r="B17" s="1"/>
      <c r="C17" s="1"/>
      <c r="D17" s="8" t="s">
        <v>8</v>
      </c>
      <c r="E17" s="1" t="s">
        <v>18</v>
      </c>
      <c r="F17" s="4"/>
      <c r="G17" s="1"/>
      <c r="H17" s="49"/>
      <c r="I17" s="50"/>
      <c r="J17" s="38"/>
      <c r="K17" s="39"/>
      <c r="L17" s="39"/>
      <c r="M17" s="39"/>
      <c r="N17" s="40"/>
      <c r="O17" s="1"/>
      <c r="P17" s="38"/>
      <c r="Q17" s="39"/>
      <c r="R17" s="39"/>
      <c r="S17" s="39"/>
      <c r="T17" s="40"/>
      <c r="U17" s="1"/>
      <c r="V17" s="1"/>
      <c r="W17" s="1"/>
      <c r="X17" s="1"/>
    </row>
    <row r="18" spans="1:24" ht="15" thickBot="1" x14ac:dyDescent="0.35">
      <c r="A18" s="1"/>
      <c r="B18" s="1"/>
      <c r="C18" s="1"/>
      <c r="D18" s="8" t="s">
        <v>9</v>
      </c>
      <c r="E18" s="1" t="s">
        <v>19</v>
      </c>
      <c r="F18" s="4"/>
      <c r="G18" s="1"/>
      <c r="H18" s="51"/>
      <c r="I18" s="52"/>
      <c r="J18" s="41"/>
      <c r="K18" s="42"/>
      <c r="L18" s="42"/>
      <c r="M18" s="42"/>
      <c r="N18" s="43"/>
      <c r="O18" s="1"/>
      <c r="P18" s="41"/>
      <c r="Q18" s="42"/>
      <c r="R18" s="42"/>
      <c r="S18" s="42"/>
      <c r="T18" s="43"/>
      <c r="U18" s="1"/>
      <c r="V18" s="1"/>
      <c r="W18" s="1"/>
      <c r="X18" s="1"/>
    </row>
    <row r="19" spans="1:24" x14ac:dyDescent="0.3">
      <c r="A19" s="1"/>
      <c r="B19" s="1"/>
      <c r="C19" s="1"/>
      <c r="D19" s="8" t="s">
        <v>25</v>
      </c>
      <c r="E19" s="1">
        <v>102</v>
      </c>
      <c r="F19" s="4" t="s">
        <v>0</v>
      </c>
      <c r="G19" s="1"/>
      <c r="H19" s="47" t="s">
        <v>33</v>
      </c>
      <c r="I19" s="48"/>
      <c r="J19" s="38"/>
      <c r="K19" s="39"/>
      <c r="L19" s="39"/>
      <c r="M19" s="39"/>
      <c r="N19" s="40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15" thickBot="1" x14ac:dyDescent="0.35">
      <c r="A20" s="1"/>
      <c r="B20" s="1"/>
      <c r="C20" s="1"/>
      <c r="D20" s="9" t="s">
        <v>26</v>
      </c>
      <c r="E20" s="3">
        <v>45555</v>
      </c>
      <c r="F20" s="5"/>
      <c r="G20" s="1"/>
      <c r="H20" s="49"/>
      <c r="I20" s="50"/>
      <c r="J20" s="38"/>
      <c r="K20" s="39"/>
      <c r="L20" s="39"/>
      <c r="M20" s="39"/>
      <c r="N20" s="40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5" thickBot="1" x14ac:dyDescent="0.35">
      <c r="A21" s="1"/>
      <c r="B21" s="1"/>
      <c r="C21" s="1"/>
      <c r="D21" s="1"/>
      <c r="E21" s="1"/>
      <c r="F21" s="1"/>
      <c r="G21" s="1"/>
      <c r="H21" s="49"/>
      <c r="I21" s="50"/>
      <c r="J21" s="38"/>
      <c r="K21" s="39"/>
      <c r="L21" s="39"/>
      <c r="M21" s="39"/>
      <c r="N21" s="40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ht="15" thickBot="1" x14ac:dyDescent="0.35">
      <c r="A22" s="1"/>
      <c r="B22" s="1"/>
      <c r="C22" s="1"/>
      <c r="D22" s="53" t="s">
        <v>37</v>
      </c>
      <c r="E22" s="54"/>
      <c r="F22" s="55"/>
      <c r="G22" s="1"/>
      <c r="H22" s="51"/>
      <c r="I22" s="52"/>
      <c r="J22" s="41"/>
      <c r="K22" s="42"/>
      <c r="L22" s="42"/>
      <c r="M22" s="42"/>
      <c r="N22" s="43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">
      <c r="A23" s="1"/>
      <c r="B23" s="1"/>
      <c r="C23" s="1"/>
      <c r="D23" s="8" t="s">
        <v>27</v>
      </c>
      <c r="E23" s="6">
        <v>45192</v>
      </c>
      <c r="F23" s="4"/>
      <c r="G23" s="1"/>
      <c r="H23" s="47" t="s">
        <v>34</v>
      </c>
      <c r="I23" s="48"/>
      <c r="J23" s="38"/>
      <c r="K23" s="39"/>
      <c r="L23" s="39"/>
      <c r="M23" s="39"/>
      <c r="N23" s="40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3">
      <c r="A24" s="1"/>
      <c r="B24" s="1"/>
      <c r="C24" s="1"/>
      <c r="D24" s="8" t="s">
        <v>28</v>
      </c>
      <c r="E24" s="1">
        <v>365</v>
      </c>
      <c r="F24" s="4"/>
      <c r="G24" s="1"/>
      <c r="H24" s="49"/>
      <c r="I24" s="50"/>
      <c r="J24" s="38"/>
      <c r="K24" s="39"/>
      <c r="L24" s="39"/>
      <c r="M24" s="39"/>
      <c r="N24" s="40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">
      <c r="A25" s="1"/>
      <c r="B25" s="1"/>
      <c r="C25" s="1"/>
      <c r="D25" s="8" t="s">
        <v>29</v>
      </c>
      <c r="E25" s="1">
        <f>((maturity-pricing_date)/nb_step)/365</f>
        <v>2.7247138299868645E-3</v>
      </c>
      <c r="F25" s="4" t="s">
        <v>1</v>
      </c>
      <c r="G25" s="1"/>
      <c r="H25" s="49"/>
      <c r="I25" s="50"/>
      <c r="J25" s="38"/>
      <c r="K25" s="39"/>
      <c r="L25" s="39"/>
      <c r="M25" s="39"/>
      <c r="N25" s="40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ht="15" thickBot="1" x14ac:dyDescent="0.35">
      <c r="A26" s="1"/>
      <c r="B26" s="1"/>
      <c r="C26" s="1"/>
      <c r="D26" s="8" t="s">
        <v>30</v>
      </c>
      <c r="E26" s="1">
        <f>EXP(vol*multiplicateur_delta*SQRT(delta_t))</f>
        <v>1.0228601171344545</v>
      </c>
      <c r="F26" s="4"/>
      <c r="G26" s="1"/>
      <c r="H26" s="51"/>
      <c r="I26" s="52"/>
      <c r="J26" s="41"/>
      <c r="K26" s="42"/>
      <c r="L26" s="42"/>
      <c r="M26" s="42"/>
      <c r="N26" s="43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ht="15" thickBot="1" x14ac:dyDescent="0.35">
      <c r="A27" s="1"/>
      <c r="B27" s="1"/>
      <c r="C27" s="1"/>
      <c r="D27" s="9" t="s">
        <v>31</v>
      </c>
      <c r="E27" s="7">
        <f>SQRT(3)</f>
        <v>1.7320508075688772</v>
      </c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</row>
    <row r="30" spans="1:24" x14ac:dyDescent="0.3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</row>
    <row r="31" spans="1:24" x14ac:dyDescent="0.3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</row>
    <row r="32" spans="1:24" x14ac:dyDescent="0.3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</row>
    <row r="33" spans="1:24" x14ac:dyDescent="0.3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1:24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spans="1:24" x14ac:dyDescent="0.3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</row>
    <row r="36" spans="1:24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3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</sheetData>
  <mergeCells count="14">
    <mergeCell ref="A1:X7"/>
    <mergeCell ref="A29:X35"/>
    <mergeCell ref="D9:F9"/>
    <mergeCell ref="D16:F16"/>
    <mergeCell ref="D22:F22"/>
    <mergeCell ref="J12:N14"/>
    <mergeCell ref="J15:N18"/>
    <mergeCell ref="P12:T14"/>
    <mergeCell ref="J19:N22"/>
    <mergeCell ref="P15:T18"/>
    <mergeCell ref="H15:I18"/>
    <mergeCell ref="H19:I22"/>
    <mergeCell ref="H23:I26"/>
    <mergeCell ref="J23:N26"/>
  </mergeCells>
  <dataValidations count="2">
    <dataValidation type="list" allowBlank="1" showInputMessage="1" showErrorMessage="1" sqref="E17" xr:uid="{165C59BC-4725-4638-BE1C-78D9F360428F}">
      <formula1>"Call,Put"</formula1>
    </dataValidation>
    <dataValidation type="list" allowBlank="1" showInputMessage="1" showErrorMessage="1" sqref="E18" xr:uid="{2052E887-EE1C-45C4-8518-31D281EEFA1A}">
      <formula1>"Americain,Europeen"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rice">
                <anchor moveWithCells="1" sizeWithCells="1">
                  <from>
                    <xdr:col>7</xdr:col>
                    <xdr:colOff>38100</xdr:colOff>
                    <xdr:row>11</xdr:row>
                    <xdr:rowOff>0</xdr:rowOff>
                  </from>
                  <to>
                    <xdr:col>8</xdr:col>
                    <xdr:colOff>754380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C6FDC-9AB4-4054-9CE5-49892487650A}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B07AD-87AC-4BD4-B10E-C5A9D3D40FD7}">
  <sheetPr codeName="Feuil2"/>
  <dimension ref="A1:P15"/>
  <sheetViews>
    <sheetView workbookViewId="0">
      <selection activeCell="K28" sqref="K28"/>
    </sheetView>
  </sheetViews>
  <sheetFormatPr baseColWidth="10" defaultRowHeight="14.4" x14ac:dyDescent="0.3"/>
  <cols>
    <col min="1" max="1" width="9" bestFit="1" customWidth="1"/>
    <col min="2" max="2" width="9.33203125" bestFit="1" customWidth="1"/>
    <col min="3" max="3" width="4.77734375" bestFit="1" customWidth="1"/>
    <col min="4" max="4" width="8.21875" bestFit="1" customWidth="1"/>
    <col min="5" max="5" width="10.21875" bestFit="1" customWidth="1"/>
    <col min="6" max="6" width="8" bestFit="1" customWidth="1"/>
    <col min="7" max="7" width="4.88671875" bestFit="1" customWidth="1"/>
    <col min="8" max="8" width="8.77734375" bestFit="1" customWidth="1"/>
    <col min="9" max="9" width="5.5546875" bestFit="1" customWidth="1"/>
    <col min="10" max="10" width="8" bestFit="1" customWidth="1"/>
    <col min="11" max="11" width="4.33203125" bestFit="1" customWidth="1"/>
    <col min="12" max="12" width="6.6640625" bestFit="1" customWidth="1"/>
    <col min="13" max="13" width="4.6640625" customWidth="1"/>
    <col min="14" max="14" width="10.6640625" bestFit="1" customWidth="1"/>
    <col min="15" max="15" width="13" bestFit="1" customWidth="1"/>
    <col min="16" max="16" width="14.33203125" bestFit="1" customWidth="1"/>
  </cols>
  <sheetData>
    <row r="1" spans="1:16" ht="15" thickBot="1" x14ac:dyDescent="0.35">
      <c r="A1" s="22" t="s">
        <v>2</v>
      </c>
      <c r="B1" s="23" t="s">
        <v>3</v>
      </c>
      <c r="C1" s="23" t="s">
        <v>4</v>
      </c>
      <c r="D1" s="23" t="s">
        <v>5</v>
      </c>
      <c r="E1" s="23" t="s">
        <v>6</v>
      </c>
      <c r="F1" s="23" t="s">
        <v>7</v>
      </c>
      <c r="G1" s="23" t="s">
        <v>8</v>
      </c>
      <c r="H1" s="23" t="s">
        <v>9</v>
      </c>
      <c r="I1" s="23" t="s">
        <v>10</v>
      </c>
      <c r="J1" s="24" t="s">
        <v>11</v>
      </c>
      <c r="K1" s="25" t="s">
        <v>12</v>
      </c>
      <c r="L1" s="26" t="s">
        <v>13</v>
      </c>
      <c r="M1" s="26" t="s">
        <v>14</v>
      </c>
      <c r="N1" s="26" t="s">
        <v>15</v>
      </c>
      <c r="O1" s="26" t="s">
        <v>16</v>
      </c>
      <c r="P1" s="27" t="s">
        <v>17</v>
      </c>
    </row>
    <row r="2" spans="1:16" x14ac:dyDescent="0.3">
      <c r="A2" s="18"/>
      <c r="B2" s="19"/>
      <c r="C2" s="19"/>
      <c r="D2" s="19"/>
      <c r="E2" s="19"/>
      <c r="F2" s="19"/>
      <c r="G2" s="20" t="s">
        <v>18</v>
      </c>
      <c r="H2" s="20" t="s">
        <v>19</v>
      </c>
      <c r="I2" s="19"/>
      <c r="J2" s="21"/>
      <c r="K2" s="18"/>
      <c r="L2" s="19"/>
      <c r="M2" s="19"/>
      <c r="N2" s="19"/>
      <c r="O2" s="19"/>
      <c r="P2" s="21"/>
    </row>
    <row r="3" spans="1:16" x14ac:dyDescent="0.3">
      <c r="A3" s="12"/>
      <c r="B3" s="10"/>
      <c r="C3" s="10"/>
      <c r="D3" s="10"/>
      <c r="E3" s="10"/>
      <c r="F3" s="10"/>
      <c r="G3" s="11" t="s">
        <v>18</v>
      </c>
      <c r="H3" s="11" t="s">
        <v>19</v>
      </c>
      <c r="I3" s="10"/>
      <c r="J3" s="13"/>
      <c r="K3" s="12"/>
      <c r="L3" s="10"/>
      <c r="M3" s="10"/>
      <c r="N3" s="10"/>
      <c r="O3" s="10"/>
      <c r="P3" s="13"/>
    </row>
    <row r="4" spans="1:16" x14ac:dyDescent="0.3">
      <c r="A4" s="12"/>
      <c r="B4" s="10"/>
      <c r="C4" s="10"/>
      <c r="D4" s="10"/>
      <c r="E4" s="10"/>
      <c r="F4" s="10"/>
      <c r="G4" s="11" t="s">
        <v>18</v>
      </c>
      <c r="H4" s="11" t="s">
        <v>19</v>
      </c>
      <c r="I4" s="10"/>
      <c r="J4" s="13"/>
      <c r="K4" s="12"/>
      <c r="L4" s="10"/>
      <c r="M4" s="10"/>
      <c r="N4" s="10"/>
      <c r="O4" s="10"/>
      <c r="P4" s="13"/>
    </row>
    <row r="5" spans="1:16" x14ac:dyDescent="0.3">
      <c r="A5" s="12"/>
      <c r="B5" s="10"/>
      <c r="C5" s="10"/>
      <c r="D5" s="10"/>
      <c r="E5" s="10"/>
      <c r="F5" s="10"/>
      <c r="G5" s="11" t="s">
        <v>18</v>
      </c>
      <c r="H5" s="11" t="s">
        <v>19</v>
      </c>
      <c r="I5" s="10"/>
      <c r="J5" s="13"/>
      <c r="K5" s="12"/>
      <c r="L5" s="10"/>
      <c r="M5" s="10"/>
      <c r="N5" s="10"/>
      <c r="O5" s="10"/>
      <c r="P5" s="13"/>
    </row>
    <row r="6" spans="1:16" x14ac:dyDescent="0.3">
      <c r="A6" s="12"/>
      <c r="B6" s="10"/>
      <c r="C6" s="10"/>
      <c r="D6" s="10"/>
      <c r="E6" s="10"/>
      <c r="F6" s="10"/>
      <c r="G6" s="11" t="s">
        <v>18</v>
      </c>
      <c r="H6" s="11" t="s">
        <v>19</v>
      </c>
      <c r="I6" s="10"/>
      <c r="J6" s="13"/>
      <c r="K6" s="12"/>
      <c r="L6" s="10"/>
      <c r="M6" s="10"/>
      <c r="N6" s="10"/>
      <c r="O6" s="10"/>
      <c r="P6" s="13"/>
    </row>
    <row r="7" spans="1:16" x14ac:dyDescent="0.3">
      <c r="A7" s="12"/>
      <c r="B7" s="10"/>
      <c r="C7" s="10"/>
      <c r="D7" s="10"/>
      <c r="E7" s="10"/>
      <c r="F7" s="10"/>
      <c r="G7" s="11" t="s">
        <v>18</v>
      </c>
      <c r="H7" s="11" t="s">
        <v>19</v>
      </c>
      <c r="I7" s="10"/>
      <c r="J7" s="13"/>
      <c r="K7" s="12"/>
      <c r="L7" s="10"/>
      <c r="M7" s="10"/>
      <c r="N7" s="10"/>
      <c r="O7" s="10"/>
      <c r="P7" s="13"/>
    </row>
    <row r="8" spans="1:16" x14ac:dyDescent="0.3">
      <c r="A8" s="12"/>
      <c r="B8" s="10"/>
      <c r="C8" s="10"/>
      <c r="D8" s="10"/>
      <c r="E8" s="10"/>
      <c r="F8" s="10"/>
      <c r="G8" s="11" t="s">
        <v>18</v>
      </c>
      <c r="H8" s="11" t="s">
        <v>19</v>
      </c>
      <c r="I8" s="10"/>
      <c r="J8" s="13"/>
      <c r="K8" s="12"/>
      <c r="L8" s="10"/>
      <c r="M8" s="10"/>
      <c r="N8" s="10"/>
      <c r="O8" s="10"/>
      <c r="P8" s="13"/>
    </row>
    <row r="9" spans="1:16" x14ac:dyDescent="0.3">
      <c r="A9" s="12"/>
      <c r="B9" s="10"/>
      <c r="C9" s="10"/>
      <c r="D9" s="10"/>
      <c r="E9" s="10"/>
      <c r="F9" s="10"/>
      <c r="G9" s="11" t="s">
        <v>18</v>
      </c>
      <c r="H9" s="11" t="s">
        <v>19</v>
      </c>
      <c r="I9" s="10"/>
      <c r="J9" s="13"/>
      <c r="K9" s="12"/>
      <c r="L9" s="10"/>
      <c r="M9" s="10"/>
      <c r="N9" s="10"/>
      <c r="O9" s="10"/>
      <c r="P9" s="13"/>
    </row>
    <row r="10" spans="1:16" x14ac:dyDescent="0.3">
      <c r="A10" s="12"/>
      <c r="B10" s="10"/>
      <c r="C10" s="10"/>
      <c r="D10" s="10"/>
      <c r="E10" s="10"/>
      <c r="F10" s="10"/>
      <c r="G10" s="11" t="s">
        <v>18</v>
      </c>
      <c r="H10" s="11" t="s">
        <v>19</v>
      </c>
      <c r="I10" s="10"/>
      <c r="J10" s="13"/>
      <c r="K10" s="12"/>
      <c r="L10" s="10"/>
      <c r="M10" s="10"/>
      <c r="N10" s="10"/>
      <c r="O10" s="10"/>
      <c r="P10" s="13"/>
    </row>
    <row r="11" spans="1:16" x14ac:dyDescent="0.3">
      <c r="A11" s="12"/>
      <c r="B11" s="10"/>
      <c r="C11" s="10"/>
      <c r="D11" s="10"/>
      <c r="E11" s="10"/>
      <c r="F11" s="10"/>
      <c r="G11" s="11" t="s">
        <v>18</v>
      </c>
      <c r="H11" s="11" t="s">
        <v>19</v>
      </c>
      <c r="I11" s="10"/>
      <c r="J11" s="13"/>
      <c r="K11" s="12"/>
      <c r="L11" s="10"/>
      <c r="M11" s="10"/>
      <c r="N11" s="10"/>
      <c r="O11" s="10"/>
      <c r="P11" s="13"/>
    </row>
    <row r="12" spans="1:16" x14ac:dyDescent="0.3">
      <c r="A12" s="12"/>
      <c r="B12" s="10"/>
      <c r="C12" s="10"/>
      <c r="D12" s="10"/>
      <c r="E12" s="10"/>
      <c r="F12" s="10"/>
      <c r="G12" s="11" t="s">
        <v>18</v>
      </c>
      <c r="H12" s="11" t="s">
        <v>19</v>
      </c>
      <c r="I12" s="10"/>
      <c r="J12" s="13"/>
      <c r="K12" s="12"/>
      <c r="L12" s="10"/>
      <c r="M12" s="10"/>
      <c r="N12" s="10"/>
      <c r="O12" s="10"/>
      <c r="P12" s="13"/>
    </row>
    <row r="13" spans="1:16" x14ac:dyDescent="0.3">
      <c r="A13" s="12"/>
      <c r="B13" s="10"/>
      <c r="C13" s="10"/>
      <c r="D13" s="10"/>
      <c r="E13" s="10"/>
      <c r="F13" s="10"/>
      <c r="G13" s="11" t="s">
        <v>18</v>
      </c>
      <c r="H13" s="11" t="s">
        <v>19</v>
      </c>
      <c r="I13" s="10"/>
      <c r="J13" s="13"/>
      <c r="K13" s="12"/>
      <c r="L13" s="10"/>
      <c r="M13" s="10"/>
      <c r="N13" s="10"/>
      <c r="O13" s="10"/>
      <c r="P13" s="13"/>
    </row>
    <row r="14" spans="1:16" x14ac:dyDescent="0.3">
      <c r="A14" s="12"/>
      <c r="B14" s="10"/>
      <c r="C14" s="10"/>
      <c r="D14" s="10"/>
      <c r="E14" s="10"/>
      <c r="F14" s="10"/>
      <c r="G14" s="11" t="s">
        <v>18</v>
      </c>
      <c r="H14" s="11" t="s">
        <v>19</v>
      </c>
      <c r="I14" s="10"/>
      <c r="J14" s="13"/>
      <c r="K14" s="12"/>
      <c r="L14" s="10"/>
      <c r="M14" s="10"/>
      <c r="N14" s="10"/>
      <c r="O14" s="10"/>
      <c r="P14" s="13"/>
    </row>
    <row r="15" spans="1:16" ht="15" thickBot="1" x14ac:dyDescent="0.35">
      <c r="A15" s="14"/>
      <c r="B15" s="15"/>
      <c r="C15" s="15"/>
      <c r="D15" s="15"/>
      <c r="E15" s="15"/>
      <c r="F15" s="15"/>
      <c r="G15" s="16" t="s">
        <v>18</v>
      </c>
      <c r="H15" s="16" t="s">
        <v>19</v>
      </c>
      <c r="I15" s="15"/>
      <c r="J15" s="17"/>
      <c r="K15" s="14"/>
      <c r="L15" s="15"/>
      <c r="M15" s="15"/>
      <c r="N15" s="15"/>
      <c r="O15" s="15"/>
      <c r="P15" s="17"/>
    </row>
  </sheetData>
  <dataValidations count="2">
    <dataValidation type="list" allowBlank="1" showInputMessage="1" showErrorMessage="1" sqref="G2:G15" xr:uid="{B07ED3CC-5511-46AD-B537-04D583C339B2}">
      <formula1>"Call,Put"</formula1>
    </dataValidation>
    <dataValidation type="list" allowBlank="1" showInputMessage="1" showErrorMessage="1" sqref="H2:H15" xr:uid="{E0717C81-490A-4D67-95F4-A390C10ECE15}">
      <formula1>"Americain,Europeen"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parametres</vt:lpstr>
      <vt:lpstr>plot</vt:lpstr>
      <vt:lpstr>result</vt:lpstr>
      <vt:lpstr>alpha</vt:lpstr>
      <vt:lpstr>delta_t</vt:lpstr>
      <vt:lpstr>div</vt:lpstr>
      <vt:lpstr>div_ex_date</vt:lpstr>
      <vt:lpstr>exercise</vt:lpstr>
      <vt:lpstr>maturity</vt:lpstr>
      <vt:lpstr>multiplicateur_delta</vt:lpstr>
      <vt:lpstr>nb_step</vt:lpstr>
      <vt:lpstr>pricing_date</vt:lpstr>
      <vt:lpstr>rate</vt:lpstr>
      <vt:lpstr>spot</vt:lpstr>
      <vt:lpstr>strike</vt:lpstr>
      <vt:lpstr>type</vt:lpstr>
      <vt:lpstr>vol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Titouan Cadiou</dc:creator>
  <cp:lastModifiedBy>Titouan Cadiou</cp:lastModifiedBy>
  <dcterms:created xsi:type="dcterms:W3CDTF">2023-09-25T10:52:14Z</dcterms:created>
  <dcterms:modified xsi:type="dcterms:W3CDTF">2023-10-18T14:53:30Z</dcterms:modified>
</cp:coreProperties>
</file>