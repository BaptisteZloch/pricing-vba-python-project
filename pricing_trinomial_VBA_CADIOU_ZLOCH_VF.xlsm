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touan\Desktop\M2 EIF\S1\Info-quant\Projet\Rendu\"/>
    </mc:Choice>
  </mc:AlternateContent>
  <xr:revisionPtr revIDLastSave="0" documentId="13_ncr:1_{3EEFC62A-D333-4BAE-82CA-3D0579D05146}" xr6:coauthVersionLast="47" xr6:coauthVersionMax="47" xr10:uidLastSave="{00000000-0000-0000-0000-000000000000}"/>
  <bookViews>
    <workbookView xWindow="-108" yWindow="-108" windowWidth="23256" windowHeight="12576" tabRatio="799" activeTab="1" xr2:uid="{0F405EF1-2443-4549-8439-DBDCB73CDC6C}"/>
  </bookViews>
  <sheets>
    <sheet name="main" sheetId="1" r:id="rId1"/>
    <sheet name="analysis" sheetId="3" r:id="rId2"/>
    <sheet name="graph" sheetId="2" r:id="rId3"/>
  </sheets>
  <functionGroups builtInGroupCount="19"/>
  <definedNames>
    <definedName name="alpha">main!#REF!</definedName>
    <definedName name="BS_analysis">analysis!$D$10</definedName>
    <definedName name="bs_price_analysis">analysis!$D$10:$D$34</definedName>
    <definedName name="convergence_trinomial_BS">main!$H$13</definedName>
    <definedName name="delta">main!$P$10</definedName>
    <definedName name="delta_t">main!#REF!</definedName>
    <definedName name="dividend_ex_date">main!$E$14</definedName>
    <definedName name="dividend_price">main!$E$13</definedName>
    <definedName name="dividend_price_analysis">analysis!#REF!</definedName>
    <definedName name="exercise_type">main!$E$19</definedName>
    <definedName name="factor">main!#REF!</definedName>
    <definedName name="gamma">main!$P$13</definedName>
    <definedName name="interest_rate">main!$E$10</definedName>
    <definedName name="interest_rate_analysis">analysis!#REF!</definedName>
    <definedName name="maturity_date">main!$E$21</definedName>
    <definedName name="n_steps">main!$E$26</definedName>
    <definedName name="option_type">main!$E$18</definedName>
    <definedName name="plot">main!$E$28</definedName>
    <definedName name="plot_graph">main!$E$28</definedName>
    <definedName name="plot_object">main!$F$28</definedName>
    <definedName name="plot_time">main!$K$19</definedName>
    <definedName name="price_analysis">analysis!$C$10</definedName>
    <definedName name="price_BS">main!$H$16</definedName>
    <definedName name="price_no_recursif">main!$H$13</definedName>
    <definedName name="price_non_recursif">main!$H$22</definedName>
    <definedName name="price_recursif">main!$H$10</definedName>
    <definedName name="pricing_date">main!$E$25</definedName>
    <definedName name="pruning">main!$E$27</definedName>
    <definedName name="pruning_value">main!$F$27</definedName>
    <definedName name="spot_price">main!$E$12</definedName>
    <definedName name="spot_price_analysis">analysis!#REF!</definedName>
    <definedName name="spread">analysis!$F$10</definedName>
    <definedName name="spread_steps">analysis!$E$10</definedName>
    <definedName name="start_plot">graph!$B$2</definedName>
    <definedName name="steps_analysis">analysis!$B$10</definedName>
    <definedName name="strike_price">main!$E$20</definedName>
    <definedName name="tab_steps">analysis!$B$9</definedName>
    <definedName name="time_analysis">analysis!$G$10</definedName>
    <definedName name="time_BS">main!$K$16</definedName>
    <definedName name="time_no_recursif">main!$K$13</definedName>
    <definedName name="time_non_recursif">main!$K$22</definedName>
    <definedName name="time_recursif">main!$K$10</definedName>
    <definedName name="vega">main!$P$16</definedName>
    <definedName name="volatility">main!$E$11</definedName>
    <definedName name="volatility_analysis">analysis!#REF!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</calcChain>
</file>

<file path=xl/sharedStrings.xml><?xml version="1.0" encoding="utf-8"?>
<sst xmlns="http://schemas.openxmlformats.org/spreadsheetml/2006/main" count="49" uniqueCount="39">
  <si>
    <t>Market</t>
  </si>
  <si>
    <t>rate</t>
  </si>
  <si>
    <t>vol</t>
  </si>
  <si>
    <t>spot</t>
  </si>
  <si>
    <t>div</t>
  </si>
  <si>
    <t>div_date</t>
  </si>
  <si>
    <t>Option</t>
  </si>
  <si>
    <t>type</t>
  </si>
  <si>
    <t>exercise</t>
  </si>
  <si>
    <t>strike</t>
  </si>
  <si>
    <t>maturity</t>
  </si>
  <si>
    <t>Model</t>
  </si>
  <si>
    <t>pricing date</t>
  </si>
  <si>
    <t>nb steps</t>
  </si>
  <si>
    <t>Black-Scholes</t>
  </si>
  <si>
    <t>Pruning</t>
  </si>
  <si>
    <t>Plot</t>
  </si>
  <si>
    <t>steps</t>
  </si>
  <si>
    <t>price</t>
  </si>
  <si>
    <t>bs_price</t>
  </si>
  <si>
    <t>spread * steps</t>
  </si>
  <si>
    <t>spread</t>
  </si>
  <si>
    <t>time</t>
  </si>
  <si>
    <t>Trinomial tree - recursif</t>
  </si>
  <si>
    <t>Convergence Trinomial - BS</t>
  </si>
  <si>
    <t>/</t>
  </si>
  <si>
    <t>Tableau d'analyses VBA</t>
  </si>
  <si>
    <t>Tableau d'analyses Python</t>
  </si>
  <si>
    <t>False</t>
  </si>
  <si>
    <t>spot_price</t>
  </si>
  <si>
    <t>Trinomial tree pricing</t>
  </si>
  <si>
    <t>Delta</t>
  </si>
  <si>
    <t>Gamma</t>
  </si>
  <si>
    <t>Vega</t>
  </si>
  <si>
    <t>Greeks</t>
  </si>
  <si>
    <t>Europeen</t>
  </si>
  <si>
    <t>Call</t>
  </si>
  <si>
    <t>Titouan CADIOU
Baptiste ZLOCH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</si>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</sst>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rgb="FFFF0000"/>
      <name val="Calibri"/>
      <family val="2"/>
    </font>
    <font>
      <sz val="24"/>
      <color indexed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3"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10" fontId="0" fillId="3" borderId="2" xfId="1" applyNumberFormat="1" applyFont="1" applyFill="1" applyBorder="1"/>
    <xf numFmtId="10" fontId="0" fillId="3" borderId="1" xfId="1" applyNumberFormat="1" applyFont="1" applyFill="1" applyBorder="1"/>
    <xf numFmtId="2" fontId="0" fillId="3" borderId="1" xfId="0" applyNumberFormat="1" applyFill="1" applyBorder="1"/>
    <xf numFmtId="14" fontId="0" fillId="3" borderId="1" xfId="0" applyNumberFormat="1" applyFill="1" applyBorder="1"/>
    <xf numFmtId="1" fontId="0" fillId="3" borderId="1" xfId="0" applyNumberFormat="1" applyFill="1" applyBorder="1"/>
    <xf numFmtId="0" fontId="0" fillId="3" borderId="0" xfId="0" applyFill="1"/>
    <xf numFmtId="0" fontId="0" fillId="0" borderId="1" xfId="0" applyBorder="1"/>
    <xf numFmtId="0" fontId="0" fillId="0" borderId="8" xfId="0" applyBorder="1"/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21" fontId="0" fillId="0" borderId="0" xfId="0" applyNumberFormat="1"/>
    <xf numFmtId="9" fontId="0" fillId="0" borderId="0" xfId="0" applyNumberFormat="1"/>
    <xf numFmtId="14" fontId="0" fillId="0" borderId="0" xfId="0" applyNumberFormat="1"/>
    <xf numFmtId="165" fontId="0" fillId="0" borderId="1" xfId="0" applyNumberFormat="1" applyBorder="1"/>
    <xf numFmtId="165" fontId="0" fillId="0" borderId="17" xfId="0" applyNumberFormat="1" applyBorder="1"/>
    <xf numFmtId="11" fontId="0" fillId="3" borderId="0" xfId="0" applyNumberFormat="1" applyFill="1"/>
    <xf numFmtId="0" fontId="0" fillId="2" borderId="5" xfId="0" applyFill="1" applyBorder="1"/>
    <xf numFmtId="0" fontId="0" fillId="0" borderId="9" xfId="0" applyBorder="1"/>
    <xf numFmtId="0" fontId="0" fillId="0" borderId="18" xfId="0" applyBorder="1"/>
    <xf numFmtId="0" fontId="0" fillId="2" borderId="0" xfId="0" applyFill="1"/>
    <xf numFmtId="0" fontId="4" fillId="2" borderId="0" xfId="0" applyFont="1" applyFill="1"/>
    <xf numFmtId="0" fontId="1" fillId="2" borderId="0" xfId="0" applyFont="1" applyFill="1"/>
    <xf numFmtId="0" fontId="0" fillId="4" borderId="0" xfId="0" applyFill="1"/>
    <xf numFmtId="0" fontId="0" fillId="6" borderId="0" xfId="0" applyFill="1"/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5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Run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VBA time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analysis!$B$10:$B$34</c:f>
              <c:numCache>
                <c:formatCode>General</c:formatCode>
                <c:ptCount val="25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analysis!$G$10:$G$34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3.90625E-3</c:v>
                </c:pt>
                <c:pt idx="4">
                  <c:v>0</c:v>
                </c:pt>
                <c:pt idx="5">
                  <c:v>1.5625E-2</c:v>
                </c:pt>
                <c:pt idx="6">
                  <c:v>1.5625E-2</c:v>
                </c:pt>
                <c:pt idx="7">
                  <c:v>3.125E-2</c:v>
                </c:pt>
                <c:pt idx="8">
                  <c:v>1.5625E-2</c:v>
                </c:pt>
                <c:pt idx="9">
                  <c:v>3.125E-2</c:v>
                </c:pt>
                <c:pt idx="10">
                  <c:v>4.6875E-2</c:v>
                </c:pt>
                <c:pt idx="11">
                  <c:v>6.25E-2</c:v>
                </c:pt>
                <c:pt idx="12">
                  <c:v>8.203125E-2</c:v>
                </c:pt>
                <c:pt idx="13">
                  <c:v>7.8125E-2</c:v>
                </c:pt>
                <c:pt idx="14">
                  <c:v>9.765625E-2</c:v>
                </c:pt>
                <c:pt idx="15">
                  <c:v>0.109375</c:v>
                </c:pt>
                <c:pt idx="16">
                  <c:v>0.15234375</c:v>
                </c:pt>
                <c:pt idx="17">
                  <c:v>0.171875</c:v>
                </c:pt>
                <c:pt idx="18">
                  <c:v>0.20703125</c:v>
                </c:pt>
                <c:pt idx="19">
                  <c:v>0.21875</c:v>
                </c:pt>
                <c:pt idx="20">
                  <c:v>0.23828125</c:v>
                </c:pt>
                <c:pt idx="21">
                  <c:v>0.3203125</c:v>
                </c:pt>
                <c:pt idx="22">
                  <c:v>0.296875</c:v>
                </c:pt>
                <c:pt idx="23">
                  <c:v>0.34765625</c:v>
                </c:pt>
                <c:pt idx="24">
                  <c:v>0.36328125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A5-4471-9BA9-AB60209B698E}"/>
            </c:ext>
          </c:extLst>
        </c:ser>
        <c:ser>
          <c:idx val="1"/>
          <c:order val="1"/>
          <c:tx>
            <c:v>Python time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analysis!$B$41:$B$65</c:f>
              <c:numCache>
                <c:formatCode>General</c:formatCode>
                <c:ptCount val="25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analysis!$G$41:$G$65</c:f>
              <c:numCache>
                <c:formatCode>General</c:formatCode>
                <c:ptCount val="25"/>
                <c:pt idx="0">
                  <c:v>3.9968490600585903E-3</c:v>
                </c:pt>
                <c:pt idx="1">
                  <c:v>1.65543556213378E-2</c:v>
                </c:pt>
                <c:pt idx="2">
                  <c:v>4.7727108001708901E-2</c:v>
                </c:pt>
                <c:pt idx="3">
                  <c:v>6.0763120651245103E-2</c:v>
                </c:pt>
                <c:pt idx="4">
                  <c:v>9.8871946334838798E-2</c:v>
                </c:pt>
                <c:pt idx="5">
                  <c:v>0.14505791664123499</c:v>
                </c:pt>
                <c:pt idx="6">
                  <c:v>0.18571782112121499</c:v>
                </c:pt>
                <c:pt idx="7">
                  <c:v>0.41422772407531699</c:v>
                </c:pt>
                <c:pt idx="8">
                  <c:v>0.37349700927734297</c:v>
                </c:pt>
                <c:pt idx="9">
                  <c:v>0.43606734275817799</c:v>
                </c:pt>
                <c:pt idx="10">
                  <c:v>1.0241169929504299</c:v>
                </c:pt>
                <c:pt idx="11">
                  <c:v>1.1016182899475</c:v>
                </c:pt>
                <c:pt idx="12">
                  <c:v>1.00379586219787</c:v>
                </c:pt>
                <c:pt idx="13">
                  <c:v>1.06104063987731</c:v>
                </c:pt>
                <c:pt idx="14">
                  <c:v>1.4477057456970199</c:v>
                </c:pt>
                <c:pt idx="15">
                  <c:v>1.1659727096557599</c:v>
                </c:pt>
                <c:pt idx="16">
                  <c:v>1.1286101341247501</c:v>
                </c:pt>
                <c:pt idx="17">
                  <c:v>1.5489535331726001</c:v>
                </c:pt>
                <c:pt idx="18">
                  <c:v>1.59876489639282</c:v>
                </c:pt>
                <c:pt idx="19">
                  <c:v>1.8376820087432799</c:v>
                </c:pt>
                <c:pt idx="20">
                  <c:v>2.3164064884185702</c:v>
                </c:pt>
                <c:pt idx="21">
                  <c:v>2.52176737785339</c:v>
                </c:pt>
                <c:pt idx="22">
                  <c:v>3.09770560264587</c:v>
                </c:pt>
                <c:pt idx="23">
                  <c:v>2.6739513874053902</c:v>
                </c:pt>
                <c:pt idx="24">
                  <c:v>3.6675117015838601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A5-4471-9BA9-AB60209B6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45680"/>
        <c:axId val="322792048"/>
      </c:scatterChart>
      <c:valAx>
        <c:axId val="32514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2792048"/>
        <c:crosses val="autoZero"/>
        <c:crossBetween val="midCat"/>
      </c:valAx>
      <c:valAx>
        <c:axId val="32279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execution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14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Trinomial</a:t>
            </a:r>
            <a:r>
              <a:rPr lang="fr-FR" baseline="0"/>
              <a:t> tree pricing versus BS price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Trinomial price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analysis!$B$10:$B$34</c:f>
              <c:numCache>
                <c:formatCode>General</c:formatCode>
                <c:ptCount val="25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analysis!$C$10:$C$34</c:f>
              <c:numCache>
                <c:formatCode>General</c:formatCode>
                <c:ptCount val="25"/>
                <c:pt idx="0">
                  <c:v>10.826454777991712</c:v>
                </c:pt>
                <c:pt idx="1">
                  <c:v>10.879453181472504</c:v>
                </c:pt>
                <c:pt idx="2">
                  <c:v>10.8913897453932</c:v>
                </c:pt>
                <c:pt idx="3">
                  <c:v>10.894877102125045</c:v>
                </c:pt>
                <c:pt idx="4">
                  <c:v>10.895653505756208</c:v>
                </c:pt>
                <c:pt idx="5">
                  <c:v>10.895378335467601</c:v>
                </c:pt>
                <c:pt idx="6">
                  <c:v>10.894661794645133</c:v>
                </c:pt>
                <c:pt idx="7">
                  <c:v>10.893761971149607</c:v>
                </c:pt>
                <c:pt idx="8">
                  <c:v>10.892797766929988</c:v>
                </c:pt>
                <c:pt idx="9">
                  <c:v>10.891923138157512</c:v>
                </c:pt>
                <c:pt idx="10">
                  <c:v>10.890051687734303</c:v>
                </c:pt>
                <c:pt idx="11">
                  <c:v>10.888337127462615</c:v>
                </c:pt>
                <c:pt idx="12">
                  <c:v>10.886789790669974</c:v>
                </c:pt>
                <c:pt idx="13">
                  <c:v>10.885396555546324</c:v>
                </c:pt>
                <c:pt idx="14">
                  <c:v>10.884139079963155</c:v>
                </c:pt>
                <c:pt idx="15">
                  <c:v>10.882999458299311</c:v>
                </c:pt>
                <c:pt idx="16">
                  <c:v>10.881961832619933</c:v>
                </c:pt>
                <c:pt idx="17">
                  <c:v>10.881012646755023</c:v>
                </c:pt>
                <c:pt idx="18">
                  <c:v>10.880140460400899</c:v>
                </c:pt>
                <c:pt idx="19">
                  <c:v>10.879335648880492</c:v>
                </c:pt>
                <c:pt idx="20">
                  <c:v>10.878590102765811</c:v>
                </c:pt>
                <c:pt idx="21">
                  <c:v>10.877896963588737</c:v>
                </c:pt>
                <c:pt idx="22">
                  <c:v>10.877250402729649</c:v>
                </c:pt>
                <c:pt idx="23">
                  <c:v>10.876645440533323</c:v>
                </c:pt>
                <c:pt idx="24">
                  <c:v>10.876077799546062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43-4A62-A02F-BA2B6FE38862}"/>
            </c:ext>
          </c:extLst>
        </c:ser>
        <c:ser>
          <c:idx val="1"/>
          <c:order val="1"/>
          <c:tx>
            <c:v>BS price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analysis!$B$10:$B$34</c:f>
              <c:numCache>
                <c:formatCode>General</c:formatCode>
                <c:ptCount val="25"/>
                <c:pt idx="0">
                  <c:v>11</c:v>
                </c:pt>
                <c:pt idx="1">
                  <c:v>21</c:v>
                </c:pt>
                <c:pt idx="2">
                  <c:v>31</c:v>
                </c:pt>
                <c:pt idx="3">
                  <c:v>41</c:v>
                </c:pt>
                <c:pt idx="4">
                  <c:v>51</c:v>
                </c:pt>
                <c:pt idx="5">
                  <c:v>61</c:v>
                </c:pt>
                <c:pt idx="6">
                  <c:v>71</c:v>
                </c:pt>
                <c:pt idx="7">
                  <c:v>81</c:v>
                </c:pt>
                <c:pt idx="8">
                  <c:v>91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</c:numCache>
            </c:numRef>
          </c:xVal>
          <c:yVal>
            <c:numRef>
              <c:f>analysis!$D$10:$D$34</c:f>
              <c:numCache>
                <c:formatCode>General</c:formatCode>
                <c:ptCount val="25"/>
                <c:pt idx="0">
                  <c:v>10.879886638622237</c:v>
                </c:pt>
                <c:pt idx="1">
                  <c:v>10.879886638622237</c:v>
                </c:pt>
                <c:pt idx="2">
                  <c:v>10.879886638622237</c:v>
                </c:pt>
                <c:pt idx="3">
                  <c:v>10.879886638622237</c:v>
                </c:pt>
                <c:pt idx="4">
                  <c:v>10.879886638622237</c:v>
                </c:pt>
                <c:pt idx="5">
                  <c:v>10.879886638622237</c:v>
                </c:pt>
                <c:pt idx="6">
                  <c:v>10.879886638622237</c:v>
                </c:pt>
                <c:pt idx="7">
                  <c:v>10.879886638622237</c:v>
                </c:pt>
                <c:pt idx="8">
                  <c:v>10.879886638622237</c:v>
                </c:pt>
                <c:pt idx="9">
                  <c:v>10.879886638622237</c:v>
                </c:pt>
                <c:pt idx="10">
                  <c:v>10.879886638622237</c:v>
                </c:pt>
                <c:pt idx="11">
                  <c:v>10.879886638622237</c:v>
                </c:pt>
                <c:pt idx="12">
                  <c:v>10.879886638622237</c:v>
                </c:pt>
                <c:pt idx="13">
                  <c:v>10.879886638622237</c:v>
                </c:pt>
                <c:pt idx="14">
                  <c:v>10.879886638622237</c:v>
                </c:pt>
                <c:pt idx="15">
                  <c:v>10.879886638622237</c:v>
                </c:pt>
                <c:pt idx="16">
                  <c:v>10.879886638622237</c:v>
                </c:pt>
                <c:pt idx="17">
                  <c:v>10.879886638622237</c:v>
                </c:pt>
                <c:pt idx="18">
                  <c:v>10.879886638622237</c:v>
                </c:pt>
                <c:pt idx="19">
                  <c:v>10.879886638622237</c:v>
                </c:pt>
                <c:pt idx="20">
                  <c:v>10.879886638622237</c:v>
                </c:pt>
                <c:pt idx="21">
                  <c:v>10.879886638622237</c:v>
                </c:pt>
                <c:pt idx="22">
                  <c:v>10.879886638622237</c:v>
                </c:pt>
                <c:pt idx="23">
                  <c:v>10.879886638622237</c:v>
                </c:pt>
                <c:pt idx="24">
                  <c:v>10.879886638622237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43-4A62-A02F-BA2B6FE38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145680"/>
        <c:axId val="322792048"/>
      </c:scatterChart>
      <c:valAx>
        <c:axId val="32514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2792048"/>
        <c:crosses val="autoZero"/>
        <c:crossBetween val="midCat"/>
      </c:valAx>
      <c:valAx>
        <c:axId val="32279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14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2</xdr:row>
          <xdr:rowOff>0</xdr:rowOff>
        </xdr:from>
        <xdr:to>
          <xdr:col>16</xdr:col>
          <xdr:colOff>45720</xdr:colOff>
          <xdr:row>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784944</xdr:colOff>
      <xdr:row>8</xdr:row>
      <xdr:rowOff>0</xdr:rowOff>
    </xdr:from>
    <xdr:to>
      <xdr:col>22</xdr:col>
      <xdr:colOff>754907</xdr:colOff>
      <xdr:row>34</xdr:row>
      <xdr:rowOff>14941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</xdr:row>
          <xdr:rowOff>0</xdr:rowOff>
        </xdr:from>
        <xdr:to>
          <xdr:col>12</xdr:col>
          <xdr:colOff>30480</xdr:colOff>
          <xdr:row>5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2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analyses trinomial - BS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-1</xdr:colOff>
      <xdr:row>38</xdr:row>
      <xdr:rowOff>179295</xdr:rowOff>
    </xdr:from>
    <xdr:to>
      <xdr:col>22</xdr:col>
      <xdr:colOff>761651</xdr:colOff>
      <xdr:row>64</xdr:row>
      <xdr:rowOff>149413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E7587-F2A2-4C4C-95D4-4DEEE2B277C6}">
  <sheetPr codeName="Feuil1"/>
  <dimension ref="A2:Q46"/>
  <sheetViews>
    <sheetView zoomScale="65" zoomScaleNormal="130" workbookViewId="0">
      <selection activeCell="I27" sqref="I27"/>
    </sheetView>
  </sheetViews>
  <sheetFormatPr baseColWidth="10" defaultColWidth="11.44140625" defaultRowHeight="14.4" x14ac:dyDescent="0.3"/>
  <cols>
    <col min="1" max="3" width="11.44140625" style="25"/>
    <col min="4" max="4" width="13.33203125" style="25" bestFit="1" customWidth="1"/>
    <col min="5" max="5" width="20.6640625" style="25" customWidth="1"/>
    <col min="6" max="6" width="11.6640625" style="25" bestFit="1" customWidth="1"/>
    <col min="7" max="7" width="16" style="25" customWidth="1"/>
    <col min="8" max="8" width="8.109375" style="25" customWidth="1"/>
    <col min="9" max="9" width="0.77734375" style="25" customWidth="1"/>
    <col min="10" max="10" width="6.44140625" style="25" customWidth="1"/>
    <col min="11" max="11" width="22.109375" style="25" customWidth="1"/>
    <col min="12" max="12" width="5.44140625" style="25" customWidth="1"/>
    <col min="13" max="13" width="6.109375" style="25" customWidth="1"/>
    <col min="14" max="15" width="11.44140625" style="25"/>
    <col min="16" max="16" width="16.33203125" style="25" customWidth="1"/>
    <col min="17" max="16384" width="11.44140625" style="25"/>
  </cols>
  <sheetData>
    <row r="2" spans="3:17" x14ac:dyDescent="0.3"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</row>
    <row r="3" spans="3:17" ht="14.4" customHeight="1" x14ac:dyDescent="0.3">
      <c r="C3" s="29"/>
      <c r="D3" s="35" t="s">
        <v>30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29"/>
    </row>
    <row r="4" spans="3:17" ht="14.4" customHeight="1" x14ac:dyDescent="0.3">
      <c r="C4" s="29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29"/>
    </row>
    <row r="5" spans="3:17" ht="14.4" customHeight="1" x14ac:dyDescent="0.3">
      <c r="C5" s="29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29"/>
    </row>
    <row r="6" spans="3:17" x14ac:dyDescent="0.3">
      <c r="C6" s="29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29"/>
    </row>
    <row r="7" spans="3:17" x14ac:dyDescent="0.3">
      <c r="C7" s="29"/>
      <c r="Q7" s="29"/>
    </row>
    <row r="8" spans="3:17" ht="15" thickBot="1" x14ac:dyDescent="0.35">
      <c r="C8" s="29"/>
      <c r="Q8" s="29"/>
    </row>
    <row r="9" spans="3:17" ht="15" thickBot="1" x14ac:dyDescent="0.35">
      <c r="C9" s="29"/>
      <c r="D9" s="30" t="s">
        <v>0</v>
      </c>
      <c r="E9" s="31"/>
      <c r="G9" s="22">
        <v>175.5445301014953</v>
      </c>
      <c r="H9" s="32" t="s">
        <v>18</v>
      </c>
      <c r="I9" s="32"/>
      <c r="J9" s="32"/>
      <c r="K9" s="32" t="s">
        <v>22</v>
      </c>
      <c r="L9" s="32"/>
      <c r="M9" s="33"/>
      <c r="O9" s="40" t="s">
        <v>34</v>
      </c>
      <c r="P9" s="33"/>
      <c r="Q9" s="29"/>
    </row>
    <row r="10" spans="3:17" x14ac:dyDescent="0.3">
      <c r="C10" s="29"/>
      <c r="D10" s="2" t="s">
        <v>1</v>
      </c>
      <c r="E10" s="3">
        <v>0.04</v>
      </c>
      <c r="G10" s="34" t="s">
        <v>23</v>
      </c>
      <c r="H10" s="38">
        <v>10.879453181472504</v>
      </c>
      <c r="I10" s="38"/>
      <c r="J10" s="38"/>
      <c r="K10" s="36">
        <v>7.8125E-2</v>
      </c>
      <c r="L10" s="36"/>
      <c r="M10" s="37"/>
      <c r="O10" s="41" t="s">
        <v>31</v>
      </c>
      <c r="P10" s="45">
        <v>0.58152232468897469</v>
      </c>
      <c r="Q10" s="29"/>
    </row>
    <row r="11" spans="3:17" x14ac:dyDescent="0.3">
      <c r="C11" s="29"/>
      <c r="D11" s="1" t="s">
        <v>2</v>
      </c>
      <c r="E11" s="4">
        <v>0.25</v>
      </c>
      <c r="G11" s="34"/>
      <c r="H11" s="38"/>
      <c r="I11" s="38"/>
      <c r="J11" s="38"/>
      <c r="K11" s="36"/>
      <c r="L11" s="36"/>
      <c r="M11" s="37"/>
      <c r="O11" s="41"/>
      <c r="P11" s="45"/>
      <c r="Q11" s="29"/>
    </row>
    <row r="12" spans="3:17" x14ac:dyDescent="0.3">
      <c r="C12" s="29"/>
      <c r="D12" s="1" t="s">
        <v>3</v>
      </c>
      <c r="E12" s="5">
        <v>100</v>
      </c>
      <c r="G12" s="34"/>
      <c r="H12" s="38"/>
      <c r="I12" s="38"/>
      <c r="J12" s="38"/>
      <c r="K12" s="36"/>
      <c r="L12" s="36"/>
      <c r="M12" s="37"/>
      <c r="O12" s="41"/>
      <c r="P12" s="45"/>
      <c r="Q12" s="29"/>
    </row>
    <row r="13" spans="3:17" x14ac:dyDescent="0.3">
      <c r="C13" s="29"/>
      <c r="D13" s="1" t="s">
        <v>4</v>
      </c>
      <c r="E13" s="5">
        <v>0</v>
      </c>
      <c r="G13" s="34" t="s">
        <v>24</v>
      </c>
      <c r="H13" s="38">
        <v>4.3345714973241911E-4</v>
      </c>
      <c r="I13" s="38"/>
      <c r="J13" s="38"/>
      <c r="K13" s="38" t="s">
        <v>25</v>
      </c>
      <c r="L13" s="38"/>
      <c r="M13" s="39"/>
      <c r="O13" s="41" t="s">
        <v>32</v>
      </c>
      <c r="P13" s="45">
        <v>1.5623344900506032E-2</v>
      </c>
      <c r="Q13" s="29"/>
    </row>
    <row r="14" spans="3:17" x14ac:dyDescent="0.3">
      <c r="C14" s="29"/>
      <c r="D14" s="1" t="s">
        <v>5</v>
      </c>
      <c r="E14" s="6">
        <v>45352</v>
      </c>
      <c r="G14" s="34"/>
      <c r="H14" s="38"/>
      <c r="I14" s="38"/>
      <c r="J14" s="38"/>
      <c r="K14" s="38"/>
      <c r="L14" s="38"/>
      <c r="M14" s="39"/>
      <c r="O14" s="41"/>
      <c r="P14" s="45"/>
      <c r="Q14" s="29"/>
    </row>
    <row r="15" spans="3:17" x14ac:dyDescent="0.3">
      <c r="C15" s="29"/>
      <c r="G15" s="34"/>
      <c r="H15" s="38"/>
      <c r="I15" s="38"/>
      <c r="J15" s="38"/>
      <c r="K15" s="38"/>
      <c r="L15" s="38"/>
      <c r="M15" s="39"/>
      <c r="O15" s="41"/>
      <c r="P15" s="45"/>
      <c r="Q15" s="29"/>
    </row>
    <row r="16" spans="3:17" ht="15" thickBot="1" x14ac:dyDescent="0.35">
      <c r="C16" s="29"/>
      <c r="G16" s="34" t="s">
        <v>14</v>
      </c>
      <c r="H16" s="38">
        <v>10.879886638622237</v>
      </c>
      <c r="I16" s="38"/>
      <c r="J16" s="38"/>
      <c r="K16" s="36">
        <v>0</v>
      </c>
      <c r="L16" s="36"/>
      <c r="M16" s="37"/>
      <c r="O16" s="41" t="s">
        <v>33</v>
      </c>
      <c r="P16" s="45">
        <v>0.39058362251265077</v>
      </c>
      <c r="Q16" s="29"/>
    </row>
    <row r="17" spans="3:17" ht="15" thickBot="1" x14ac:dyDescent="0.35">
      <c r="C17" s="29"/>
      <c r="D17" s="30" t="s">
        <v>6</v>
      </c>
      <c r="E17" s="31"/>
      <c r="G17" s="34"/>
      <c r="H17" s="38"/>
      <c r="I17" s="38"/>
      <c r="J17" s="38"/>
      <c r="K17" s="36"/>
      <c r="L17" s="36"/>
      <c r="M17" s="37"/>
      <c r="O17" s="41"/>
      <c r="P17" s="45"/>
      <c r="Q17" s="29"/>
    </row>
    <row r="18" spans="3:17" ht="15" thickBot="1" x14ac:dyDescent="0.35">
      <c r="C18" s="29"/>
      <c r="D18" s="1" t="s">
        <v>7</v>
      </c>
      <c r="E18" s="1" t="s">
        <v>36</v>
      </c>
      <c r="G18" s="34"/>
      <c r="H18" s="38"/>
      <c r="I18" s="38"/>
      <c r="J18" s="38"/>
      <c r="K18" s="36"/>
      <c r="L18" s="36"/>
      <c r="M18" s="37"/>
      <c r="O18" s="42"/>
      <c r="P18" s="46"/>
      <c r="Q18" s="29"/>
    </row>
    <row r="19" spans="3:17" x14ac:dyDescent="0.3">
      <c r="C19" s="29"/>
      <c r="D19" s="1" t="s">
        <v>8</v>
      </c>
      <c r="E19" s="1" t="s">
        <v>35</v>
      </c>
      <c r="G19" s="34" t="s">
        <v>16</v>
      </c>
      <c r="H19" s="38" t="s">
        <v>25</v>
      </c>
      <c r="I19" s="38"/>
      <c r="J19" s="38"/>
      <c r="K19" s="36">
        <v>0.15625</v>
      </c>
      <c r="L19" s="36"/>
      <c r="M19" s="37"/>
      <c r="Q19" s="29"/>
    </row>
    <row r="20" spans="3:17" x14ac:dyDescent="0.3">
      <c r="C20" s="29"/>
      <c r="D20" s="1" t="s">
        <v>9</v>
      </c>
      <c r="E20" s="1">
        <v>102</v>
      </c>
      <c r="G20" s="34"/>
      <c r="H20" s="38"/>
      <c r="I20" s="38"/>
      <c r="J20" s="38"/>
      <c r="K20" s="36"/>
      <c r="L20" s="36"/>
      <c r="M20" s="37"/>
      <c r="P20" s="27"/>
      <c r="Q20" s="29"/>
    </row>
    <row r="21" spans="3:17" x14ac:dyDescent="0.3">
      <c r="C21" s="29"/>
      <c r="D21" s="1" t="s">
        <v>10</v>
      </c>
      <c r="E21" s="6">
        <v>45555</v>
      </c>
      <c r="G21" s="34"/>
      <c r="H21" s="38"/>
      <c r="I21" s="38"/>
      <c r="J21" s="38"/>
      <c r="K21" s="36"/>
      <c r="L21" s="36"/>
      <c r="M21" s="37"/>
      <c r="Q21" s="29"/>
    </row>
    <row r="22" spans="3:17" ht="14.4" customHeight="1" x14ac:dyDescent="0.3">
      <c r="C22" s="29"/>
      <c r="K22" s="25">
        <v>0</v>
      </c>
      <c r="Q22" s="29"/>
    </row>
    <row r="23" spans="3:17" ht="15" thickBot="1" x14ac:dyDescent="0.35">
      <c r="C23" s="29"/>
      <c r="Q23" s="29"/>
    </row>
    <row r="24" spans="3:17" ht="15" thickBot="1" x14ac:dyDescent="0.35">
      <c r="C24" s="29"/>
      <c r="D24" s="30" t="s">
        <v>11</v>
      </c>
      <c r="E24" s="31"/>
      <c r="Q24" s="29"/>
    </row>
    <row r="25" spans="3:17" x14ac:dyDescent="0.3">
      <c r="C25" s="29"/>
      <c r="D25" s="1" t="s">
        <v>12</v>
      </c>
      <c r="E25" s="6">
        <v>45190</v>
      </c>
      <c r="O25" s="43" t="s">
        <v>37</v>
      </c>
      <c r="P25" s="44"/>
      <c r="Q25" s="29"/>
    </row>
    <row r="26" spans="3:17" ht="14.4" customHeight="1" x14ac:dyDescent="0.3">
      <c r="C26" s="29"/>
      <c r="D26" s="1" t="s">
        <v>13</v>
      </c>
      <c r="E26" s="7">
        <v>21</v>
      </c>
      <c r="O26" s="44"/>
      <c r="P26" s="44"/>
      <c r="Q26" s="29"/>
    </row>
    <row r="27" spans="3:17" ht="14.4" customHeight="1" x14ac:dyDescent="0.3">
      <c r="C27" s="29"/>
      <c r="D27" s="1" t="s">
        <v>15</v>
      </c>
      <c r="E27" s="5" t="s">
        <v>28</v>
      </c>
      <c r="F27" s="1">
        <f>2*10 ^(-8)</f>
        <v>2E-8</v>
      </c>
      <c r="O27" s="44"/>
      <c r="P27" s="44"/>
      <c r="Q27" s="29"/>
    </row>
    <row r="28" spans="3:17" ht="14.4" customHeight="1" x14ac:dyDescent="0.3">
      <c r="C28" s="29"/>
      <c r="D28" s="1" t="s">
        <v>16</v>
      </c>
      <c r="E28" s="5" t="s">
        <v>38</v>
      </c>
      <c r="F28" s="5" t="s">
        <v>29</v>
      </c>
      <c r="O28" s="44"/>
      <c r="P28" s="44"/>
      <c r="Q28" s="29"/>
    </row>
    <row r="29" spans="3:17" ht="14.4" customHeight="1" x14ac:dyDescent="0.3"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</row>
    <row r="30" spans="3:17" ht="14.4" customHeight="1" x14ac:dyDescent="0.3"/>
    <row r="31" spans="3:17" ht="14.4" customHeight="1" x14ac:dyDescent="0.3"/>
    <row r="32" spans="3:17" ht="14.4" customHeight="1" x14ac:dyDescent="0.3"/>
    <row r="33" spans="1:1" ht="14.4" customHeight="1" x14ac:dyDescent="0.3">
      <c r="A33" s="26"/>
    </row>
    <row r="34" spans="1:1" ht="14.4" customHeight="1" x14ac:dyDescent="0.3">
      <c r="A34" s="26"/>
    </row>
    <row r="35" spans="1:1" x14ac:dyDescent="0.3">
      <c r="A35" s="26"/>
    </row>
    <row r="36" spans="1:1" x14ac:dyDescent="0.3">
      <c r="A36" s="26"/>
    </row>
    <row r="37" spans="1:1" x14ac:dyDescent="0.3">
      <c r="A37" s="26"/>
    </row>
    <row r="38" spans="1:1" x14ac:dyDescent="0.3">
      <c r="A38" s="26"/>
    </row>
    <row r="39" spans="1:1" x14ac:dyDescent="0.3">
      <c r="A39" s="26"/>
    </row>
    <row r="40" spans="1:1" x14ac:dyDescent="0.3">
      <c r="A40" s="26"/>
    </row>
    <row r="41" spans="1:1" x14ac:dyDescent="0.3">
      <c r="A41" s="26"/>
    </row>
    <row r="42" spans="1:1" x14ac:dyDescent="0.3">
      <c r="A42" s="26"/>
    </row>
    <row r="43" spans="1:1" x14ac:dyDescent="0.3">
      <c r="A43" s="26"/>
    </row>
    <row r="44" spans="1:1" x14ac:dyDescent="0.3">
      <c r="A44" s="26"/>
    </row>
    <row r="45" spans="1:1" x14ac:dyDescent="0.3">
      <c r="A45" s="26"/>
    </row>
    <row r="46" spans="1:1" x14ac:dyDescent="0.3">
      <c r="A46" s="26"/>
    </row>
  </sheetData>
  <dataConsolidate/>
  <mergeCells count="26">
    <mergeCell ref="O25:P28"/>
    <mergeCell ref="H10:J12"/>
    <mergeCell ref="H13:J15"/>
    <mergeCell ref="K10:M12"/>
    <mergeCell ref="G16:G18"/>
    <mergeCell ref="H16:J18"/>
    <mergeCell ref="K16:M18"/>
    <mergeCell ref="G19:G21"/>
    <mergeCell ref="H19:J21"/>
    <mergeCell ref="P10:P12"/>
    <mergeCell ref="P13:P15"/>
    <mergeCell ref="P16:P18"/>
    <mergeCell ref="D3:P6"/>
    <mergeCell ref="K19:M21"/>
    <mergeCell ref="K13:M15"/>
    <mergeCell ref="D9:E9"/>
    <mergeCell ref="D17:E17"/>
    <mergeCell ref="O9:P9"/>
    <mergeCell ref="O10:O12"/>
    <mergeCell ref="O13:O15"/>
    <mergeCell ref="O16:O18"/>
    <mergeCell ref="D24:E24"/>
    <mergeCell ref="H9:J9"/>
    <mergeCell ref="K9:M9"/>
    <mergeCell ref="G10:G12"/>
    <mergeCell ref="G13:G15"/>
  </mergeCells>
  <dataValidations count="4">
    <dataValidation type="list" allowBlank="1" showInputMessage="1" showErrorMessage="1" sqref="E18" xr:uid="{14E1514A-E432-40DF-902A-A75558A3164A}">
      <formula1>"Call,Put"</formula1>
    </dataValidation>
    <dataValidation type="list" allowBlank="1" showInputMessage="1" showErrorMessage="1" sqref="E19" xr:uid="{9C99BF1C-67B2-4B60-8A77-60AD53B7572A}">
      <formula1>"American,Europeen"</formula1>
    </dataValidation>
    <dataValidation type="list" allowBlank="1" showInputMessage="1" showErrorMessage="1" sqref="E27:E28" xr:uid="{1296B3BB-FAF6-4474-905A-9E55713BD9D0}">
      <formula1>"True,False"</formula1>
    </dataValidation>
    <dataValidation type="list" allowBlank="1" showInputMessage="1" showErrorMessage="1" sqref="F28" xr:uid="{9E340505-B435-42B9-B1D7-23BB6DA90E28}">
      <formula1>"spot_price,option_price,proba_up,proba_down,proba_mid,proba_cumul"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14</xdr:col>
                    <xdr:colOff>76200</xdr:colOff>
                    <xdr:row>2</xdr:row>
                    <xdr:rowOff>0</xdr:rowOff>
                  </from>
                  <to>
                    <xdr:col>16</xdr:col>
                    <xdr:colOff>45720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7AA8-6E4F-4CEB-9D9B-D1C5A591D36E}">
  <sheetPr codeName="Feuil3"/>
  <dimension ref="B5:X83"/>
  <sheetViews>
    <sheetView tabSelected="1" zoomScale="50" workbookViewId="0">
      <selection activeCell="S5" sqref="S5"/>
    </sheetView>
  </sheetViews>
  <sheetFormatPr baseColWidth="10" defaultRowHeight="14.4" x14ac:dyDescent="0.3"/>
  <cols>
    <col min="2" max="2" width="8.77734375" customWidth="1"/>
    <col min="3" max="3" width="12.6640625" customWidth="1"/>
    <col min="4" max="4" width="15.77734375" customWidth="1"/>
    <col min="5" max="5" width="20.109375" customWidth="1"/>
    <col min="6" max="6" width="8.77734375" bestFit="1" customWidth="1"/>
    <col min="7" max="7" width="16.21875" bestFit="1" customWidth="1"/>
    <col min="8" max="8" width="16.21875" customWidth="1"/>
  </cols>
  <sheetData>
    <row r="5" spans="2:24" ht="15" thickBot="1" x14ac:dyDescent="0.35"/>
    <row r="6" spans="2:24" x14ac:dyDescent="0.3">
      <c r="B6" s="47" t="s">
        <v>26</v>
      </c>
      <c r="C6" s="48"/>
      <c r="D6" s="48"/>
      <c r="E6" s="48"/>
      <c r="F6" s="48"/>
      <c r="G6" s="49"/>
    </row>
    <row r="7" spans="2:24" ht="15" thickBot="1" x14ac:dyDescent="0.35">
      <c r="B7" s="50"/>
      <c r="C7" s="51"/>
      <c r="D7" s="51"/>
      <c r="E7" s="51"/>
      <c r="F7" s="51"/>
      <c r="G7" s="52"/>
    </row>
    <row r="8" spans="2:24" ht="15" thickBot="1" x14ac:dyDescent="0.35"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  <row r="9" spans="2:24" x14ac:dyDescent="0.3">
      <c r="B9" s="11" t="s">
        <v>17</v>
      </c>
      <c r="C9" s="12" t="s">
        <v>18</v>
      </c>
      <c r="D9" s="12" t="s">
        <v>19</v>
      </c>
      <c r="E9" s="12" t="s">
        <v>20</v>
      </c>
      <c r="F9" s="12" t="s">
        <v>21</v>
      </c>
      <c r="G9" s="13" t="s">
        <v>22</v>
      </c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</row>
    <row r="10" spans="2:24" x14ac:dyDescent="0.3">
      <c r="B10" s="10">
        <v>11</v>
      </c>
      <c r="C10" s="9">
        <v>10.826454777991712</v>
      </c>
      <c r="D10" s="9">
        <v>10.879886638622237</v>
      </c>
      <c r="E10" s="9">
        <v>-0.58775046693577337</v>
      </c>
      <c r="F10" s="19">
        <v>-5.3431860630524852E-2</v>
      </c>
      <c r="G10" s="23">
        <v>0</v>
      </c>
      <c r="I10" s="28"/>
      <c r="J10" s="28">
        <v>1.5625E-2</v>
      </c>
      <c r="K10" s="28">
        <v>1.5625E-2</v>
      </c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</row>
    <row r="11" spans="2:24" x14ac:dyDescent="0.3">
      <c r="B11" s="10">
        <v>21</v>
      </c>
      <c r="C11" s="9">
        <v>10.879453181472504</v>
      </c>
      <c r="D11" s="9">
        <v>10.879886638622237</v>
      </c>
      <c r="E11" s="9">
        <v>-9.1026001443808013E-3</v>
      </c>
      <c r="F11" s="19">
        <v>-4.3345714973241911E-4</v>
      </c>
      <c r="G11" s="23">
        <v>0</v>
      </c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</row>
    <row r="12" spans="2:24" x14ac:dyDescent="0.3">
      <c r="B12" s="10">
        <v>31</v>
      </c>
      <c r="C12" s="9">
        <v>10.8913897453932</v>
      </c>
      <c r="D12" s="9">
        <v>10.879886638622237</v>
      </c>
      <c r="E12" s="9">
        <v>0.35659630989985303</v>
      </c>
      <c r="F12" s="19">
        <v>1.1503106770963001E-2</v>
      </c>
      <c r="G12" s="23">
        <v>0</v>
      </c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</row>
    <row r="13" spans="2:24" x14ac:dyDescent="0.3">
      <c r="B13" s="10">
        <v>41</v>
      </c>
      <c r="C13" s="9">
        <v>10.894877102125045</v>
      </c>
      <c r="D13" s="9">
        <v>10.879886638622237</v>
      </c>
      <c r="E13" s="9">
        <v>0.61460900361515414</v>
      </c>
      <c r="F13" s="19">
        <v>1.4990463502808637E-2</v>
      </c>
      <c r="G13" s="23">
        <v>3.90625E-3</v>
      </c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</row>
    <row r="14" spans="2:24" x14ac:dyDescent="0.3">
      <c r="B14" s="10">
        <v>51</v>
      </c>
      <c r="C14" s="9">
        <v>10.895653505756208</v>
      </c>
      <c r="D14" s="9">
        <v>10.879886638622237</v>
      </c>
      <c r="E14" s="9">
        <v>0.80411022383252195</v>
      </c>
      <c r="F14" s="19">
        <v>1.5766867133971019E-2</v>
      </c>
      <c r="G14" s="23">
        <v>0</v>
      </c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</row>
    <row r="15" spans="2:24" x14ac:dyDescent="0.3">
      <c r="B15" s="10">
        <v>61</v>
      </c>
      <c r="C15" s="9">
        <v>10.895378335467601</v>
      </c>
      <c r="D15" s="9">
        <v>10.879886638622237</v>
      </c>
      <c r="E15" s="9">
        <v>0.94499350756723111</v>
      </c>
      <c r="F15" s="19">
        <v>1.5491696845364444E-2</v>
      </c>
      <c r="G15" s="23">
        <v>1.5625E-2</v>
      </c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</row>
    <row r="16" spans="2:24" x14ac:dyDescent="0.3">
      <c r="B16" s="10">
        <v>71</v>
      </c>
      <c r="C16" s="9">
        <v>10.894661794645133</v>
      </c>
      <c r="D16" s="9">
        <v>10.879886638622237</v>
      </c>
      <c r="E16" s="9">
        <v>1.049036077625626</v>
      </c>
      <c r="F16" s="19">
        <v>1.4775156022896141E-2</v>
      </c>
      <c r="G16" s="23">
        <v>1.5625E-2</v>
      </c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</row>
    <row r="17" spans="2:24" x14ac:dyDescent="0.3">
      <c r="B17" s="10">
        <v>81</v>
      </c>
      <c r="C17" s="9">
        <v>10.893761971149607</v>
      </c>
      <c r="D17" s="9">
        <v>10.879886638622237</v>
      </c>
      <c r="E17" s="9">
        <v>1.1239019347169474</v>
      </c>
      <c r="F17" s="19">
        <v>1.3875332527369721E-2</v>
      </c>
      <c r="G17" s="23">
        <v>3.125E-2</v>
      </c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</row>
    <row r="18" spans="2:24" x14ac:dyDescent="0.3">
      <c r="B18" s="10">
        <v>91</v>
      </c>
      <c r="C18" s="9">
        <v>10.892797766929988</v>
      </c>
      <c r="D18" s="9">
        <v>10.879886638622237</v>
      </c>
      <c r="E18" s="9">
        <v>1.1749126760053397</v>
      </c>
      <c r="F18" s="19">
        <v>1.2911128307750985E-2</v>
      </c>
      <c r="G18" s="23">
        <v>1.5625E-2</v>
      </c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</row>
    <row r="19" spans="2:24" x14ac:dyDescent="0.3">
      <c r="B19" s="10">
        <v>100</v>
      </c>
      <c r="C19" s="9">
        <v>10.891923138157512</v>
      </c>
      <c r="D19" s="9">
        <v>10.879886638622237</v>
      </c>
      <c r="E19" s="9">
        <v>1.2036499535275524</v>
      </c>
      <c r="F19" s="19">
        <v>1.2036499535275524E-2</v>
      </c>
      <c r="G19" s="23">
        <v>3.125E-2</v>
      </c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</row>
    <row r="20" spans="2:24" x14ac:dyDescent="0.3">
      <c r="B20" s="10">
        <v>120</v>
      </c>
      <c r="C20" s="9">
        <v>10.890051687734303</v>
      </c>
      <c r="D20" s="9">
        <v>10.879886638622237</v>
      </c>
      <c r="E20" s="9">
        <v>1.2198058934479405</v>
      </c>
      <c r="F20" s="19">
        <v>1.0165049112066171E-2</v>
      </c>
      <c r="G20" s="23">
        <v>4.6875E-2</v>
      </c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</row>
    <row r="21" spans="2:24" x14ac:dyDescent="0.3">
      <c r="B21" s="10">
        <v>140</v>
      </c>
      <c r="C21" s="9">
        <v>10.888337127462615</v>
      </c>
      <c r="D21" s="9">
        <v>10.879886638622237</v>
      </c>
      <c r="E21" s="9">
        <v>1.1830684376528922</v>
      </c>
      <c r="F21" s="19">
        <v>8.4504888403778011E-3</v>
      </c>
      <c r="G21" s="23">
        <v>6.25E-2</v>
      </c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</row>
    <row r="22" spans="2:24" x14ac:dyDescent="0.3">
      <c r="B22" s="10">
        <v>160</v>
      </c>
      <c r="C22" s="9">
        <v>10.886789790669974</v>
      </c>
      <c r="D22" s="9">
        <v>10.879886638622237</v>
      </c>
      <c r="E22" s="9">
        <v>1.1045043276379829</v>
      </c>
      <c r="F22" s="19">
        <v>6.9031520477373931E-3</v>
      </c>
      <c r="G22" s="23">
        <v>8.203125E-2</v>
      </c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</row>
    <row r="23" spans="2:24" x14ac:dyDescent="0.3">
      <c r="B23" s="10">
        <v>180</v>
      </c>
      <c r="C23" s="9">
        <v>10.885396555546324</v>
      </c>
      <c r="D23" s="9">
        <v>10.879886638622237</v>
      </c>
      <c r="E23" s="9">
        <v>0.99178504633563591</v>
      </c>
      <c r="F23" s="19">
        <v>5.5099169240868662E-3</v>
      </c>
      <c r="G23" s="23">
        <v>7.8125E-2</v>
      </c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</row>
    <row r="24" spans="2:24" x14ac:dyDescent="0.3">
      <c r="B24" s="10">
        <v>200</v>
      </c>
      <c r="C24" s="9">
        <v>10.884139079963155</v>
      </c>
      <c r="D24" s="9">
        <v>10.879886638622237</v>
      </c>
      <c r="E24" s="9">
        <v>0.85048826818372447</v>
      </c>
      <c r="F24" s="19">
        <v>4.2524413409186224E-3</v>
      </c>
      <c r="G24" s="23">
        <v>9.765625E-2</v>
      </c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</row>
    <row r="25" spans="2:24" x14ac:dyDescent="0.3">
      <c r="B25" s="10">
        <v>220</v>
      </c>
      <c r="C25" s="9">
        <v>10.882999458299311</v>
      </c>
      <c r="D25" s="9">
        <v>10.879886638622237</v>
      </c>
      <c r="E25" s="9">
        <v>0.68482032895637701</v>
      </c>
      <c r="F25" s="19">
        <v>3.112819677074441E-3</v>
      </c>
      <c r="G25" s="23">
        <v>0.109375</v>
      </c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</row>
    <row r="26" spans="2:24" x14ac:dyDescent="0.3">
      <c r="B26" s="10">
        <v>240</v>
      </c>
      <c r="C26" s="9">
        <v>10.881961832619933</v>
      </c>
      <c r="D26" s="9">
        <v>10.879886638622237</v>
      </c>
      <c r="E26" s="9">
        <v>0.49804655944697629</v>
      </c>
      <c r="F26" s="19">
        <v>2.0751939976957345E-3</v>
      </c>
      <c r="G26" s="23">
        <v>0.15234375</v>
      </c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</row>
    <row r="27" spans="2:24" x14ac:dyDescent="0.3">
      <c r="B27" s="10">
        <v>260</v>
      </c>
      <c r="C27" s="9">
        <v>10.881012646755023</v>
      </c>
      <c r="D27" s="9">
        <v>10.879886638622237</v>
      </c>
      <c r="E27" s="9">
        <v>0.29276211452440748</v>
      </c>
      <c r="F27" s="19">
        <v>1.1260081327861826E-3</v>
      </c>
      <c r="G27" s="23">
        <v>0.171875</v>
      </c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</row>
    <row r="28" spans="2:24" x14ac:dyDescent="0.3">
      <c r="B28" s="10">
        <v>280</v>
      </c>
      <c r="C28" s="9">
        <v>10.880140460400899</v>
      </c>
      <c r="D28" s="9">
        <v>10.879886638622237</v>
      </c>
      <c r="E28" s="9">
        <v>7.1070098025316497E-2</v>
      </c>
      <c r="F28" s="19">
        <v>2.5382177866184463E-4</v>
      </c>
      <c r="G28" s="23">
        <v>0.20703125</v>
      </c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</row>
    <row r="29" spans="2:24" x14ac:dyDescent="0.3">
      <c r="B29" s="10">
        <v>300</v>
      </c>
      <c r="C29" s="9">
        <v>10.879335648880492</v>
      </c>
      <c r="D29" s="9">
        <v>10.879886638622237</v>
      </c>
      <c r="E29" s="9">
        <v>-0.1652969225235168</v>
      </c>
      <c r="F29" s="19">
        <v>-5.5098974174505599E-4</v>
      </c>
      <c r="G29" s="23">
        <v>0.21875</v>
      </c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</row>
    <row r="30" spans="2:24" x14ac:dyDescent="0.3">
      <c r="B30" s="10">
        <v>320</v>
      </c>
      <c r="C30" s="9">
        <v>10.878590102765811</v>
      </c>
      <c r="D30" s="9">
        <v>10.879886638622237</v>
      </c>
      <c r="E30" s="9">
        <v>-0.41489147405627591</v>
      </c>
      <c r="F30" s="19">
        <v>-1.2965358564258622E-3</v>
      </c>
      <c r="G30" s="23">
        <v>0.23828125</v>
      </c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</row>
    <row r="31" spans="2:24" x14ac:dyDescent="0.3">
      <c r="B31" s="10">
        <v>340</v>
      </c>
      <c r="C31" s="9">
        <v>10.877896963588737</v>
      </c>
      <c r="D31" s="9">
        <v>10.879886638622237</v>
      </c>
      <c r="E31" s="9">
        <v>-0.67648951138977509</v>
      </c>
      <c r="F31" s="19">
        <v>-1.9896750334993385E-3</v>
      </c>
      <c r="G31" s="23">
        <v>0.3203125</v>
      </c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</row>
    <row r="32" spans="2:24" x14ac:dyDescent="0.3">
      <c r="B32" s="10">
        <v>360</v>
      </c>
      <c r="C32" s="9">
        <v>10.877250402729649</v>
      </c>
      <c r="D32" s="9">
        <v>10.879886638622237</v>
      </c>
      <c r="E32" s="9">
        <v>-0.94904492133167651</v>
      </c>
      <c r="F32" s="19">
        <v>-2.6362358925879903E-3</v>
      </c>
      <c r="G32" s="23">
        <v>0.296875</v>
      </c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</row>
    <row r="33" spans="2:24" x14ac:dyDescent="0.3">
      <c r="B33" s="10">
        <v>380</v>
      </c>
      <c r="C33" s="9">
        <v>10.876645440533323</v>
      </c>
      <c r="D33" s="9">
        <v>10.879886638622237</v>
      </c>
      <c r="E33" s="9">
        <v>-1.2316552737870623</v>
      </c>
      <c r="F33" s="19">
        <v>-3.2411980889133218E-3</v>
      </c>
      <c r="G33" s="23">
        <v>0.34765625</v>
      </c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2:24" ht="15" thickBot="1" x14ac:dyDescent="0.35">
      <c r="B34" s="14">
        <v>400</v>
      </c>
      <c r="C34" s="15">
        <v>10.876077799546062</v>
      </c>
      <c r="D34" s="15">
        <v>10.879886638622237</v>
      </c>
      <c r="E34" s="15">
        <v>-1.5235356304700076</v>
      </c>
      <c r="F34" s="20">
        <v>-3.808839076175019E-3</v>
      </c>
      <c r="G34" s="24">
        <v>0.36328125</v>
      </c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spans="2:24" x14ac:dyDescent="0.3">
      <c r="G35" s="16"/>
      <c r="H35" s="16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</row>
    <row r="36" spans="2:24" ht="15" thickBot="1" x14ac:dyDescent="0.35"/>
    <row r="37" spans="2:24" x14ac:dyDescent="0.3">
      <c r="B37" s="47" t="s">
        <v>27</v>
      </c>
      <c r="C37" s="48"/>
      <c r="D37" s="48"/>
      <c r="E37" s="48"/>
      <c r="F37" s="48"/>
      <c r="G37" s="49"/>
    </row>
    <row r="38" spans="2:24" ht="15" thickBot="1" x14ac:dyDescent="0.35">
      <c r="B38" s="50"/>
      <c r="C38" s="51"/>
      <c r="D38" s="51"/>
      <c r="E38" s="51"/>
      <c r="F38" s="51"/>
      <c r="G38" s="52"/>
    </row>
    <row r="39" spans="2:24" ht="15" thickBot="1" x14ac:dyDescent="0.35"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2:24" x14ac:dyDescent="0.3">
      <c r="B40" s="11" t="s">
        <v>17</v>
      </c>
      <c r="C40" s="12" t="s">
        <v>18</v>
      </c>
      <c r="D40" s="12" t="s">
        <v>19</v>
      </c>
      <c r="E40" s="12" t="s">
        <v>20</v>
      </c>
      <c r="F40" s="12" t="s">
        <v>21</v>
      </c>
      <c r="G40" s="13" t="s">
        <v>22</v>
      </c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</row>
    <row r="41" spans="2:24" x14ac:dyDescent="0.3">
      <c r="B41" s="10">
        <v>11</v>
      </c>
      <c r="C41" s="9">
        <v>10.8264547779917</v>
      </c>
      <c r="D41" s="9">
        <v>10.8798866386222</v>
      </c>
      <c r="E41" s="9">
        <v>-0.58775046693549982</v>
      </c>
      <c r="F41" s="19">
        <v>-5.3431860630499983E-2</v>
      </c>
      <c r="G41" s="23">
        <v>3.9968490600585903E-3</v>
      </c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spans="2:24" x14ac:dyDescent="0.3">
      <c r="B42" s="10">
        <v>21</v>
      </c>
      <c r="C42" s="9">
        <v>10.879453181472501</v>
      </c>
      <c r="D42" s="9">
        <v>10.8798866386222</v>
      </c>
      <c r="E42" s="9">
        <v>-9.102600143672035E-3</v>
      </c>
      <c r="F42" s="19">
        <v>-4.3345714969866833E-4</v>
      </c>
      <c r="G42" s="23">
        <v>1.65543556213378E-2</v>
      </c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  <row r="43" spans="2:24" x14ac:dyDescent="0.3">
      <c r="B43" s="10">
        <v>31</v>
      </c>
      <c r="C43" s="9">
        <v>10.891389745393299</v>
      </c>
      <c r="D43" s="9">
        <v>10.8798866386222</v>
      </c>
      <c r="E43" s="9">
        <v>0.35659630990409319</v>
      </c>
      <c r="F43" s="19">
        <v>1.150310677109978E-2</v>
      </c>
      <c r="G43" s="23">
        <v>4.7727108001708901E-2</v>
      </c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</row>
    <row r="44" spans="2:24" x14ac:dyDescent="0.3">
      <c r="B44" s="10">
        <v>41</v>
      </c>
      <c r="C44" s="9">
        <v>10.894877102125101</v>
      </c>
      <c r="D44" s="9">
        <v>10.8798866386222</v>
      </c>
      <c r="E44" s="9">
        <v>0.61460900361894133</v>
      </c>
      <c r="F44" s="19">
        <v>1.4990463502901008E-2</v>
      </c>
      <c r="G44" s="23">
        <v>6.0763120651245103E-2</v>
      </c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</row>
    <row r="45" spans="2:24" x14ac:dyDescent="0.3">
      <c r="B45" s="10">
        <v>51</v>
      </c>
      <c r="C45" s="9">
        <v>10.8956535057563</v>
      </c>
      <c r="D45" s="9">
        <v>10.8798866386222</v>
      </c>
      <c r="E45" s="9">
        <v>0.80411022383913533</v>
      </c>
      <c r="F45" s="19">
        <v>1.5766867134100693E-2</v>
      </c>
      <c r="G45" s="23">
        <v>9.8871946334838798E-2</v>
      </c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</row>
    <row r="46" spans="2:24" x14ac:dyDescent="0.3">
      <c r="B46" s="10">
        <v>61</v>
      </c>
      <c r="C46" s="9">
        <v>10.895378335467701</v>
      </c>
      <c r="D46" s="9">
        <v>10.8798866386222</v>
      </c>
      <c r="E46" s="9">
        <v>0.94499350757557465</v>
      </c>
      <c r="F46" s="19">
        <v>1.5491696845501224E-2</v>
      </c>
      <c r="G46" s="23">
        <v>0.14505791664123499</v>
      </c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</row>
    <row r="47" spans="2:24" x14ac:dyDescent="0.3">
      <c r="B47" s="10">
        <v>71</v>
      </c>
      <c r="C47" s="9">
        <v>10.8946617946452</v>
      </c>
      <c r="D47" s="9">
        <v>10.8798866386222</v>
      </c>
      <c r="E47" s="9">
        <v>1.0490360776330672</v>
      </c>
      <c r="F47" s="19">
        <v>1.4775156023000946E-2</v>
      </c>
      <c r="G47" s="23">
        <v>0.18571782112121499</v>
      </c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</row>
    <row r="48" spans="2:24" x14ac:dyDescent="0.3">
      <c r="B48" s="10">
        <v>81</v>
      </c>
      <c r="C48" s="9">
        <v>10.893761971149701</v>
      </c>
      <c r="D48" s="9">
        <v>10.8798866386222</v>
      </c>
      <c r="E48" s="9">
        <v>1.1239019347275949</v>
      </c>
      <c r="F48" s="19">
        <v>1.3875332527501172E-2</v>
      </c>
      <c r="G48" s="23">
        <v>0.41422772407531699</v>
      </c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</row>
    <row r="49" spans="2:24" x14ac:dyDescent="0.3">
      <c r="B49" s="10">
        <v>91</v>
      </c>
      <c r="C49" s="9">
        <v>10.892797766930199</v>
      </c>
      <c r="D49" s="9">
        <v>10.8798866386222</v>
      </c>
      <c r="E49" s="9">
        <v>1.1749126760279704</v>
      </c>
      <c r="F49" s="19">
        <v>1.2911128307999675E-2</v>
      </c>
      <c r="G49" s="23">
        <v>0.37349700927734297</v>
      </c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</row>
    <row r="50" spans="2:24" x14ac:dyDescent="0.3">
      <c r="B50" s="10">
        <v>100</v>
      </c>
      <c r="C50" s="9">
        <v>10.891923138158001</v>
      </c>
      <c r="D50" s="9">
        <v>10.8798866386222</v>
      </c>
      <c r="E50" s="9">
        <v>1.2036499535801326</v>
      </c>
      <c r="F50" s="19">
        <v>1.2036499535801326E-2</v>
      </c>
      <c r="G50" s="23">
        <v>0.43606734275817799</v>
      </c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</row>
    <row r="51" spans="2:24" x14ac:dyDescent="0.3">
      <c r="B51" s="10">
        <v>120</v>
      </c>
      <c r="C51" s="9">
        <v>10.890051687734699</v>
      </c>
      <c r="D51" s="9">
        <v>10.8798866386222</v>
      </c>
      <c r="E51" s="9">
        <v>1.2198058934999523</v>
      </c>
      <c r="F51" s="19">
        <v>1.0165049112499602E-2</v>
      </c>
      <c r="G51" s="23">
        <v>1.0241169929504299</v>
      </c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</row>
    <row r="52" spans="2:24" x14ac:dyDescent="0.3">
      <c r="B52" s="10">
        <v>140</v>
      </c>
      <c r="C52" s="9">
        <v>10.888337127462799</v>
      </c>
      <c r="D52" s="9">
        <v>10.8798866386222</v>
      </c>
      <c r="E52" s="9">
        <v>1.1830684376839784</v>
      </c>
      <c r="F52" s="19">
        <v>8.4504888405998457E-3</v>
      </c>
      <c r="G52" s="23">
        <v>1.1016182899475</v>
      </c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</row>
    <row r="53" spans="2:24" x14ac:dyDescent="0.3">
      <c r="B53" s="10">
        <v>160</v>
      </c>
      <c r="C53" s="9">
        <v>10.8867897906705</v>
      </c>
      <c r="D53" s="9">
        <v>10.8798866386222</v>
      </c>
      <c r="E53" s="9">
        <v>1.1045043277280797</v>
      </c>
      <c r="F53" s="19">
        <v>6.9031520483004982E-3</v>
      </c>
      <c r="G53" s="23">
        <v>1.00379586219787</v>
      </c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</row>
    <row r="54" spans="2:24" x14ac:dyDescent="0.3">
      <c r="B54" s="10">
        <v>180</v>
      </c>
      <c r="C54" s="9">
        <v>10.8853965555471</v>
      </c>
      <c r="D54" s="9">
        <v>10.8798866386222</v>
      </c>
      <c r="E54" s="9">
        <v>0.99178504648207877</v>
      </c>
      <c r="F54" s="19">
        <v>5.5099169249004376E-3</v>
      </c>
      <c r="G54" s="23">
        <v>1.06104063987731</v>
      </c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</row>
    <row r="55" spans="2:24" x14ac:dyDescent="0.3">
      <c r="B55" s="10">
        <v>200</v>
      </c>
      <c r="C55" s="9">
        <v>10.8841390799639</v>
      </c>
      <c r="D55" s="9">
        <v>10.8798866386222</v>
      </c>
      <c r="E55" s="9">
        <v>0.85048826834004387</v>
      </c>
      <c r="F55" s="19">
        <v>4.2524413417002194E-3</v>
      </c>
      <c r="G55" s="23">
        <v>1.4477057456970199</v>
      </c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</row>
    <row r="56" spans="2:24" x14ac:dyDescent="0.3">
      <c r="B56" s="10">
        <v>220</v>
      </c>
      <c r="C56" s="9">
        <v>10.882999458300301</v>
      </c>
      <c r="D56" s="9">
        <v>10.8798866386222</v>
      </c>
      <c r="E56" s="9">
        <v>0.68482032918225855</v>
      </c>
      <c r="F56" s="19">
        <v>3.1128196781011752E-3</v>
      </c>
      <c r="G56" s="23">
        <v>1.1659727096557599</v>
      </c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</row>
    <row r="57" spans="2:24" x14ac:dyDescent="0.3">
      <c r="B57" s="10">
        <v>240</v>
      </c>
      <c r="C57" s="9">
        <v>10.8819618326207</v>
      </c>
      <c r="D57" s="9">
        <v>10.8798866386222</v>
      </c>
      <c r="E57" s="9">
        <v>0.4980465596401018</v>
      </c>
      <c r="F57" s="19">
        <v>2.0751939985004242E-3</v>
      </c>
      <c r="G57" s="23">
        <v>1.1286101341247501</v>
      </c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</row>
    <row r="58" spans="2:24" x14ac:dyDescent="0.3">
      <c r="B58" s="10">
        <v>260</v>
      </c>
      <c r="C58" s="9">
        <v>10.8810126467556</v>
      </c>
      <c r="D58" s="9">
        <v>10.8798866386222</v>
      </c>
      <c r="E58" s="9">
        <v>0.29276211468420854</v>
      </c>
      <c r="F58" s="19">
        <v>1.1260081334008021E-3</v>
      </c>
      <c r="G58" s="23">
        <v>1.5489535331726001</v>
      </c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</row>
    <row r="59" spans="2:24" x14ac:dyDescent="0.3">
      <c r="B59" s="10">
        <v>280</v>
      </c>
      <c r="C59" s="9">
        <v>10.880140460401501</v>
      </c>
      <c r="D59" s="9">
        <v>10.8798866386222</v>
      </c>
      <c r="E59" s="9">
        <v>7.1070098204373267E-2</v>
      </c>
      <c r="F59" s="19">
        <v>2.5382177930133309E-4</v>
      </c>
      <c r="G59" s="23">
        <v>1.59876489639282</v>
      </c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</row>
    <row r="60" spans="2:24" x14ac:dyDescent="0.3">
      <c r="B60" s="10">
        <v>300</v>
      </c>
      <c r="C60" s="9">
        <v>10.879335648881399</v>
      </c>
      <c r="D60" s="9">
        <v>10.8798866386222</v>
      </c>
      <c r="E60" s="9">
        <v>-0.16529692224001025</v>
      </c>
      <c r="F60" s="19">
        <v>-5.5098974080003416E-4</v>
      </c>
      <c r="G60" s="23">
        <v>1.8376820087432799</v>
      </c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</row>
    <row r="61" spans="2:24" x14ac:dyDescent="0.3">
      <c r="B61" s="10">
        <v>320</v>
      </c>
      <c r="C61" s="9">
        <v>10.8785901027666</v>
      </c>
      <c r="D61" s="9">
        <v>10.8798866386222</v>
      </c>
      <c r="E61" s="9">
        <v>-0.41489147379195401</v>
      </c>
      <c r="F61" s="19">
        <v>-1.2965358555998563E-3</v>
      </c>
      <c r="G61" s="23">
        <v>2.3164064884185702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</row>
    <row r="62" spans="2:24" x14ac:dyDescent="0.3">
      <c r="B62" s="10">
        <v>340</v>
      </c>
      <c r="C62" s="9">
        <v>10.877896963590199</v>
      </c>
      <c r="D62" s="9">
        <v>10.8798866386222</v>
      </c>
      <c r="E62" s="9">
        <v>-0.67648951088003173</v>
      </c>
      <c r="F62" s="19">
        <v>-1.9896750320000933E-3</v>
      </c>
      <c r="G62" s="23">
        <v>2.52176737785339</v>
      </c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</row>
    <row r="63" spans="2:24" x14ac:dyDescent="0.3">
      <c r="B63" s="10">
        <v>360</v>
      </c>
      <c r="C63" s="9">
        <v>10.8772504027308</v>
      </c>
      <c r="D63" s="9">
        <v>10.8798866386222</v>
      </c>
      <c r="E63" s="9">
        <v>-0.94904492090385872</v>
      </c>
      <c r="F63" s="19">
        <v>-2.6362358913996076E-3</v>
      </c>
      <c r="G63" s="23">
        <v>3.09770560264587</v>
      </c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</row>
    <row r="64" spans="2:24" x14ac:dyDescent="0.3">
      <c r="B64" s="10">
        <v>380</v>
      </c>
      <c r="C64" s="9">
        <v>10.876645440535</v>
      </c>
      <c r="D64" s="9">
        <v>10.8798866386222</v>
      </c>
      <c r="E64" s="9">
        <v>-1.2316552731356722</v>
      </c>
      <c r="F64" s="19">
        <v>-3.2411980871991375E-3</v>
      </c>
      <c r="G64" s="23">
        <v>2.6739513874053902</v>
      </c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</row>
    <row r="65" spans="2:24" ht="15" thickBot="1" x14ac:dyDescent="0.35">
      <c r="B65" s="14">
        <v>400</v>
      </c>
      <c r="C65" s="15">
        <v>10.8760777995476</v>
      </c>
      <c r="D65" s="15">
        <v>10.8798866386222</v>
      </c>
      <c r="E65" s="15">
        <v>-1.5235356298397562</v>
      </c>
      <c r="F65" s="20">
        <v>-3.8088390745993905E-3</v>
      </c>
      <c r="G65" s="24">
        <v>3.6675117015838601</v>
      </c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</row>
    <row r="66" spans="2:24" x14ac:dyDescent="0.3"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</row>
    <row r="68" spans="2:24" x14ac:dyDescent="0.3">
      <c r="E68" s="17"/>
    </row>
    <row r="69" spans="2:24" x14ac:dyDescent="0.3">
      <c r="E69" s="17"/>
    </row>
    <row r="72" spans="2:24" x14ac:dyDescent="0.3">
      <c r="E72" s="18"/>
    </row>
    <row r="79" spans="2:24" x14ac:dyDescent="0.3">
      <c r="E79" s="18"/>
    </row>
    <row r="83" spans="5:5" x14ac:dyDescent="0.3">
      <c r="E83" s="18"/>
    </row>
  </sheetData>
  <mergeCells count="2">
    <mergeCell ref="B6:G7"/>
    <mergeCell ref="B37:G3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nalyse_time">
                <anchor moveWithCells="1" sizeWithCells="1">
                  <from>
                    <xdr:col>9</xdr:col>
                    <xdr:colOff>15240</xdr:colOff>
                    <xdr:row>1</xdr:row>
                    <xdr:rowOff>0</xdr:rowOff>
                  </from>
                  <to>
                    <xdr:col>12</xdr:col>
                    <xdr:colOff>30480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81D60-EC90-494A-8A41-0C021D9AD59C}">
  <sheetPr codeName="Feuil2"/>
  <dimension ref="B3:W45"/>
  <sheetViews>
    <sheetView zoomScale="44" zoomScaleNormal="55" workbookViewId="0">
      <selection activeCell="W45" sqref="W45"/>
    </sheetView>
  </sheetViews>
  <sheetFormatPr baseColWidth="10" defaultColWidth="11.44140625" defaultRowHeight="14.4" x14ac:dyDescent="0.3"/>
  <cols>
    <col min="1" max="2" width="11.44140625" style="8"/>
    <col min="3" max="12" width="15.77734375" style="8" customWidth="1"/>
    <col min="13" max="14" width="11.44140625" style="8"/>
    <col min="15" max="16" width="11.5546875" style="8" bestFit="1" customWidth="1"/>
    <col min="17" max="40" width="15.21875" style="8" bestFit="1" customWidth="1"/>
    <col min="41" max="93" width="11.44140625" style="8"/>
    <col min="94" max="102" width="12.33203125" style="8" bestFit="1" customWidth="1"/>
    <col min="103" max="16384" width="11.44140625" style="8"/>
  </cols>
  <sheetData>
    <row r="3" spans="10:23" x14ac:dyDescent="0.3">
      <c r="W3" s="8">
        <v>757.09116028621759</v>
      </c>
    </row>
    <row r="4" spans="10:23" x14ac:dyDescent="0.3">
      <c r="V4" s="8">
        <v>687.51784744891222</v>
      </c>
      <c r="W4" s="8">
        <v>688.82865324373472</v>
      </c>
    </row>
    <row r="5" spans="10:23" x14ac:dyDescent="0.3">
      <c r="U5" s="8">
        <v>624.33801285183279</v>
      </c>
      <c r="V5" s="8">
        <v>625.52836141981686</v>
      </c>
      <c r="W5" s="8">
        <v>626.72097947914062</v>
      </c>
    </row>
    <row r="6" spans="10:23" x14ac:dyDescent="0.3">
      <c r="T6" s="8">
        <v>566.96412425968367</v>
      </c>
      <c r="U6" s="8">
        <v>568.04508508461913</v>
      </c>
      <c r="V6" s="8">
        <v>569.12810684472674</v>
      </c>
      <c r="W6" s="8">
        <v>570.21319346933819</v>
      </c>
    </row>
    <row r="7" spans="10:23" x14ac:dyDescent="0.3">
      <c r="S7" s="8">
        <v>514.86264103838221</v>
      </c>
      <c r="T7" s="8">
        <v>515.84426636769558</v>
      </c>
      <c r="U7" s="8">
        <v>516.82776324139843</v>
      </c>
      <c r="V7" s="8">
        <v>517.81313522773428</v>
      </c>
      <c r="W7" s="8">
        <v>518.80038590175002</v>
      </c>
    </row>
    <row r="8" spans="10:23" x14ac:dyDescent="0.3">
      <c r="R8" s="8">
        <v>467.54905256686601</v>
      </c>
      <c r="S8" s="8">
        <v>468.44047089112138</v>
      </c>
      <c r="T8" s="8">
        <v>469.33358877315453</v>
      </c>
      <c r="U8" s="8">
        <v>470.22840945330364</v>
      </c>
      <c r="V8" s="8">
        <v>471.12493617808434</v>
      </c>
      <c r="W8" s="8">
        <v>472.0231722002024</v>
      </c>
    </row>
    <row r="9" spans="10:23" x14ac:dyDescent="0.3">
      <c r="Q9" s="8">
        <v>424.58337259680445</v>
      </c>
      <c r="R9" s="8">
        <v>425.392873538853</v>
      </c>
      <c r="S9" s="8">
        <v>426.20391785687337</v>
      </c>
      <c r="T9" s="8">
        <v>427.01650849343059</v>
      </c>
      <c r="U9" s="8">
        <v>427.83064839670027</v>
      </c>
      <c r="V9" s="8">
        <v>428.64634052047865</v>
      </c>
      <c r="W9" s="8">
        <v>429.46358782419395</v>
      </c>
    </row>
    <row r="10" spans="10:23" x14ac:dyDescent="0.3">
      <c r="P10" s="8">
        <v>385.56604766062588</v>
      </c>
      <c r="Q10" s="8">
        <v>386.3011590638219</v>
      </c>
      <c r="R10" s="8">
        <v>387.0376720135967</v>
      </c>
      <c r="S10" s="8">
        <v>387.77558918210752</v>
      </c>
      <c r="T10" s="8">
        <v>388.51491324660532</v>
      </c>
      <c r="U10" s="8">
        <v>389.25564688944593</v>
      </c>
      <c r="V10" s="8">
        <v>389.99779279809894</v>
      </c>
      <c r="W10" s="8">
        <v>390.74135366515816</v>
      </c>
    </row>
    <row r="11" spans="10:23" x14ac:dyDescent="0.3">
      <c r="O11" s="8">
        <v>350.13424147866624</v>
      </c>
      <c r="P11" s="8">
        <v>350.80179941101534</v>
      </c>
      <c r="Q11" s="8">
        <v>351.47063009404189</v>
      </c>
      <c r="R11" s="8">
        <v>352.14073595434303</v>
      </c>
      <c r="S11" s="8">
        <v>352.81211942314297</v>
      </c>
      <c r="T11" s="8">
        <v>353.48478293630058</v>
      </c>
      <c r="U11" s="8">
        <v>354.15872893431924</v>
      </c>
      <c r="V11" s="8">
        <v>354.83395986235513</v>
      </c>
      <c r="W11" s="8">
        <v>355.51047817022641</v>
      </c>
    </row>
    <row r="12" spans="10:23" x14ac:dyDescent="0.3">
      <c r="N12" s="8">
        <v>317.9584608127837</v>
      </c>
      <c r="O12" s="8">
        <v>318.56467313802403</v>
      </c>
      <c r="P12" s="8">
        <v>319.17204125381124</v>
      </c>
      <c r="Q12" s="8">
        <v>319.78056736374907</v>
      </c>
      <c r="R12" s="8">
        <v>320.39025367564238</v>
      </c>
      <c r="S12" s="8">
        <v>321.00110240150622</v>
      </c>
      <c r="T12" s="8">
        <v>321.61311575757202</v>
      </c>
      <c r="U12" s="8">
        <v>322.22629596429732</v>
      </c>
      <c r="V12" s="8">
        <v>322.84064524637273</v>
      </c>
      <c r="W12" s="8">
        <v>323.45616583273056</v>
      </c>
    </row>
    <row r="13" spans="10:23" x14ac:dyDescent="0.3">
      <c r="M13" s="8">
        <v>288.73949138903146</v>
      </c>
      <c r="N13" s="8">
        <v>289.28999549581414</v>
      </c>
      <c r="O13" s="8">
        <v>289.84154918112887</v>
      </c>
      <c r="P13" s="8">
        <v>290.39415444607835</v>
      </c>
      <c r="Q13" s="8">
        <v>290.94781329558026</v>
      </c>
      <c r="R13" s="8">
        <v>291.50252773837451</v>
      </c>
      <c r="S13" s="8">
        <v>292.05829978703156</v>
      </c>
      <c r="T13" s="8">
        <v>292.61513145795823</v>
      </c>
      <c r="U13" s="8">
        <v>293.17302477140629</v>
      </c>
      <c r="V13" s="8">
        <v>293.73198175147888</v>
      </c>
      <c r="W13" s="8">
        <v>294.29200442613853</v>
      </c>
    </row>
    <row r="14" spans="10:23" x14ac:dyDescent="0.3">
      <c r="L14" s="8">
        <v>262.20561539542058</v>
      </c>
      <c r="M14" s="8">
        <v>262.70553062143341</v>
      </c>
      <c r="N14" s="8">
        <v>263.20639897437638</v>
      </c>
      <c r="O14" s="8">
        <v>263.70822227145902</v>
      </c>
      <c r="P14" s="8">
        <v>264.21100233335625</v>
      </c>
      <c r="Q14" s="8">
        <v>264.71474098421396</v>
      </c>
      <c r="R14" s="8">
        <v>265.21944005165568</v>
      </c>
      <c r="S14" s="8">
        <v>265.72510136679006</v>
      </c>
      <c r="T14" s="8">
        <v>266.23172676421626</v>
      </c>
      <c r="U14" s="8">
        <v>266.73931808203173</v>
      </c>
      <c r="V14" s="8">
        <v>267.24787716183795</v>
      </c>
      <c r="W14" s="8">
        <v>267.75740584874791</v>
      </c>
    </row>
    <row r="15" spans="10:23" x14ac:dyDescent="0.3">
      <c r="K15" s="8">
        <v>238.1100846792684</v>
      </c>
      <c r="L15" s="8">
        <v>238.56405991781887</v>
      </c>
      <c r="M15" s="8">
        <v>239.01890069517029</v>
      </c>
      <c r="N15" s="8">
        <v>239.47460866153943</v>
      </c>
      <c r="O15" s="8">
        <v>239.93118547028871</v>
      </c>
      <c r="P15" s="8">
        <v>240.38863277793334</v>
      </c>
      <c r="Q15" s="8">
        <v>240.84695224414656</v>
      </c>
      <c r="R15" s="8">
        <v>241.30614553176576</v>
      </c>
      <c r="S15" s="8">
        <v>241.76621430679913</v>
      </c>
      <c r="T15" s="8">
        <v>242.22716023843071</v>
      </c>
      <c r="U15" s="8">
        <v>242.68898499902738</v>
      </c>
      <c r="V15" s="8">
        <v>243.15169026414415</v>
      </c>
      <c r="W15" s="8">
        <v>243.61527771253085</v>
      </c>
    </row>
    <row r="16" spans="10:23" x14ac:dyDescent="0.3">
      <c r="J16" s="8">
        <v>216.22882614648449</v>
      </c>
      <c r="K16" s="8">
        <v>216.64108307824594</v>
      </c>
      <c r="L16" s="8">
        <v>217.05412600963945</v>
      </c>
      <c r="M16" s="8">
        <v>217.46795643923377</v>
      </c>
      <c r="N16" s="8">
        <v>217.88257586845523</v>
      </c>
      <c r="O16" s="8">
        <v>218.2979858015922</v>
      </c>
      <c r="P16" s="8">
        <v>218.71418774580155</v>
      </c>
      <c r="Q16" s="8">
        <v>219.13118321111341</v>
      </c>
      <c r="R16" s="8">
        <v>219.54897371043677</v>
      </c>
      <c r="S16" s="8">
        <v>219.9675607595656</v>
      </c>
      <c r="T16" s="8">
        <v>220.38694587718331</v>
      </c>
      <c r="U16" s="8">
        <v>220.80713058486918</v>
      </c>
      <c r="V16" s="8">
        <v>221.22811640710316</v>
      </c>
      <c r="W16" s="8">
        <v>221.64990487127196</v>
      </c>
    </row>
    <row r="17" spans="2:23" x14ac:dyDescent="0.3">
      <c r="I17" s="8">
        <v>196.3583580244615</v>
      </c>
      <c r="J17" s="8">
        <v>196.73273037641621</v>
      </c>
      <c r="K17" s="8">
        <v>197.10781649813012</v>
      </c>
      <c r="L17" s="8">
        <v>197.48361775046024</v>
      </c>
      <c r="M17" s="8">
        <v>197.86013549685816</v>
      </c>
      <c r="N17" s="8">
        <v>198.23737110337524</v>
      </c>
      <c r="O17" s="8">
        <v>198.61532593866698</v>
      </c>
      <c r="P17" s="8">
        <v>198.99400137399866</v>
      </c>
      <c r="Q17" s="8">
        <v>199.37339878324977</v>
      </c>
      <c r="R17" s="8">
        <v>199.75351954291912</v>
      </c>
      <c r="S17" s="8">
        <v>200.13436503213032</v>
      </c>
      <c r="T17" s="8">
        <v>200.51593663263594</v>
      </c>
      <c r="U17" s="8">
        <v>200.89823572882332</v>
      </c>
      <c r="V17" s="8">
        <v>201.28126370771889</v>
      </c>
      <c r="W17" s="8">
        <v>201.6650219589938</v>
      </c>
    </row>
    <row r="18" spans="2:23" x14ac:dyDescent="0.3">
      <c r="H18" s="8">
        <v>178.3138976111463</v>
      </c>
      <c r="I18" s="8">
        <v>178.65386680780557</v>
      </c>
      <c r="J18" s="8">
        <v>178.9944841819553</v>
      </c>
      <c r="K18" s="8">
        <v>179.33575096939597</v>
      </c>
      <c r="L18" s="8">
        <v>179.67766840828403</v>
      </c>
      <c r="M18" s="8">
        <v>180.0202377391366</v>
      </c>
      <c r="N18" s="8">
        <v>180.36346020483612</v>
      </c>
      <c r="O18" s="8">
        <v>180.70733705063438</v>
      </c>
      <c r="P18" s="8">
        <v>181.05186952415764</v>
      </c>
      <c r="Q18" s="8">
        <v>181.39705887541066</v>
      </c>
      <c r="R18" s="8">
        <v>181.74290635678139</v>
      </c>
      <c r="S18" s="8">
        <v>182.08941322304585</v>
      </c>
      <c r="T18" s="8">
        <v>182.43658073137203</v>
      </c>
      <c r="U18" s="8">
        <v>182.78441014132511</v>
      </c>
      <c r="V18" s="8">
        <v>183.13290271487142</v>
      </c>
      <c r="W18" s="8">
        <v>183.48205971638356</v>
      </c>
    </row>
    <row r="19" spans="2:23" x14ac:dyDescent="0.3">
      <c r="G19" s="8">
        <v>161.92764291356204</v>
      </c>
      <c r="H19" s="8">
        <v>162.23637045199709</v>
      </c>
      <c r="I19" s="8">
        <v>162.54568660329204</v>
      </c>
      <c r="J19" s="8">
        <v>162.85559248968264</v>
      </c>
      <c r="K19" s="8">
        <v>163.16608923554438</v>
      </c>
      <c r="L19" s="8">
        <v>163.47717796739641</v>
      </c>
      <c r="M19" s="8">
        <v>163.78885981390559</v>
      </c>
      <c r="N19" s="8">
        <v>164.10113590589086</v>
      </c>
      <c r="O19" s="8">
        <v>164.41400737632696</v>
      </c>
      <c r="P19" s="8">
        <v>164.7274753603489</v>
      </c>
      <c r="Q19" s="8">
        <v>165.04154099525582</v>
      </c>
      <c r="R19" s="8">
        <v>165.3562054205151</v>
      </c>
      <c r="S19" s="8">
        <v>165.6714697777669</v>
      </c>
      <c r="T19" s="8">
        <v>165.98733521082769</v>
      </c>
      <c r="U19" s="8">
        <v>166.30380286569499</v>
      </c>
      <c r="V19" s="8">
        <v>166.62087389055097</v>
      </c>
      <c r="W19" s="8">
        <v>166.93854943576707</v>
      </c>
    </row>
    <row r="20" spans="2:23" x14ac:dyDescent="0.3">
      <c r="F20" s="8">
        <v>147.04721219611221</v>
      </c>
      <c r="G20" s="8">
        <v>147.32756904586441</v>
      </c>
      <c r="H20" s="8">
        <v>147.60846041757065</v>
      </c>
      <c r="I20" s="8">
        <v>147.88988733033833</v>
      </c>
      <c r="J20" s="8">
        <v>148.17185080521767</v>
      </c>
      <c r="K20" s="8">
        <v>148.45435186520581</v>
      </c>
      <c r="L20" s="8">
        <v>148.7373915352502</v>
      </c>
      <c r="M20" s="8">
        <v>149.02097084225238</v>
      </c>
      <c r="N20" s="8">
        <v>149.30509081507191</v>
      </c>
      <c r="O20" s="8">
        <v>149.58975248452981</v>
      </c>
      <c r="P20" s="8">
        <v>149.87495688341252</v>
      </c>
      <c r="Q20" s="8">
        <v>150.16070504647558</v>
      </c>
      <c r="R20" s="8">
        <v>150.44699801044723</v>
      </c>
      <c r="S20" s="8">
        <v>150.73383681403254</v>
      </c>
      <c r="T20" s="8">
        <v>151.02122249791671</v>
      </c>
      <c r="U20" s="8">
        <v>151.30915610476933</v>
      </c>
      <c r="V20" s="8">
        <v>151.59763867924764</v>
      </c>
      <c r="W20" s="8">
        <v>151.88667126800084</v>
      </c>
    </row>
    <row r="21" spans="2:23" x14ac:dyDescent="0.3">
      <c r="E21" s="8">
        <v>133.53422692746091</v>
      </c>
      <c r="F21" s="8">
        <v>133.78882022873037</v>
      </c>
      <c r="G21" s="8">
        <v>134.04389893176193</v>
      </c>
      <c r="H21" s="8">
        <v>134.29946396201146</v>
      </c>
      <c r="I21" s="8">
        <v>134.55551624669934</v>
      </c>
      <c r="J21" s="8">
        <v>134.81205671481371</v>
      </c>
      <c r="K21" s="8">
        <v>135.06908629711393</v>
      </c>
      <c r="L21" s="8">
        <v>135.32660592613391</v>
      </c>
      <c r="M21" s="8">
        <v>135.58461653618551</v>
      </c>
      <c r="N21" s="8">
        <v>135.84311906336194</v>
      </c>
      <c r="O21" s="8">
        <v>136.1021144455411</v>
      </c>
      <c r="P21" s="8">
        <v>136.36160362238911</v>
      </c>
      <c r="Q21" s="8">
        <v>136.62158753536357</v>
      </c>
      <c r="R21" s="8">
        <v>136.88206712771702</v>
      </c>
      <c r="S21" s="8">
        <v>137.14304334450051</v>
      </c>
      <c r="T21" s="8">
        <v>137.4045171325667</v>
      </c>
      <c r="U21" s="8">
        <v>137.66648944057371</v>
      </c>
      <c r="V21" s="8">
        <v>137.92896121898815</v>
      </c>
      <c r="W21" s="8">
        <v>138.19193342008896</v>
      </c>
    </row>
    <row r="22" spans="2:23" x14ac:dyDescent="0.3">
      <c r="D22" s="8">
        <v>121.26302494829669</v>
      </c>
      <c r="E22" s="8">
        <v>121.4942222566862</v>
      </c>
      <c r="F22" s="8">
        <v>121.72586036057321</v>
      </c>
      <c r="G22" s="8">
        <v>121.95794010036829</v>
      </c>
      <c r="H22" s="8">
        <v>122.19046231808436</v>
      </c>
      <c r="I22" s="8">
        <v>122.4234278573397</v>
      </c>
      <c r="J22" s="8">
        <v>122.65683756336101</v>
      </c>
      <c r="K22" s="8">
        <v>122.89069228298648</v>
      </c>
      <c r="L22" s="8">
        <v>123.12499286466888</v>
      </c>
      <c r="M22" s="8">
        <v>123.35974015847859</v>
      </c>
      <c r="N22" s="8">
        <v>123.59493501610673</v>
      </c>
      <c r="O22" s="8">
        <v>123.83057829086823</v>
      </c>
      <c r="P22" s="8">
        <v>124.06667083770495</v>
      </c>
      <c r="Q22" s="8">
        <v>124.30321351318874</v>
      </c>
      <c r="R22" s="8">
        <v>124.54020717552456</v>
      </c>
      <c r="S22" s="8">
        <v>124.77765268455367</v>
      </c>
      <c r="T22" s="8">
        <v>125.0155509017566</v>
      </c>
      <c r="U22" s="8">
        <v>125.2539026902564</v>
      </c>
      <c r="V22" s="8">
        <v>125.49270891482169</v>
      </c>
      <c r="W22" s="8">
        <v>125.73197044186993</v>
      </c>
    </row>
    <row r="23" spans="2:23" x14ac:dyDescent="0.3">
      <c r="C23" s="8">
        <v>110.11949189325961</v>
      </c>
      <c r="D23" s="8">
        <v>110.32944319653446</v>
      </c>
      <c r="E23" s="8">
        <v>110.5397947881596</v>
      </c>
      <c r="F23" s="8">
        <v>110.75054743131567</v>
      </c>
      <c r="G23" s="8">
        <v>110.96170189063832</v>
      </c>
      <c r="H23" s="8">
        <v>111.17325893222107</v>
      </c>
      <c r="I23" s="8">
        <v>111.38521932361806</v>
      </c>
      <c r="J23" s="8">
        <v>111.59758383384677</v>
      </c>
      <c r="K23" s="8">
        <v>111.81035323339096</v>
      </c>
      <c r="L23" s="21">
        <v>112.02352829420332</v>
      </c>
      <c r="M23" s="8">
        <v>112.23710978970831</v>
      </c>
      <c r="N23" s="8">
        <v>112.45109849480507</v>
      </c>
      <c r="O23" s="8">
        <v>112.66549518587004</v>
      </c>
      <c r="P23" s="8">
        <v>112.88030064075997</v>
      </c>
      <c r="Q23" s="8">
        <v>113.09551563881459</v>
      </c>
      <c r="R23" s="8">
        <v>113.31114096085952</v>
      </c>
      <c r="S23" s="8">
        <v>113.52717738920913</v>
      </c>
      <c r="T23" s="8">
        <v>113.74362570766925</v>
      </c>
      <c r="U23" s="8">
        <v>113.96048670154016</v>
      </c>
      <c r="V23" s="8">
        <v>114.17776115761933</v>
      </c>
      <c r="W23" s="8">
        <v>114.39544986420438</v>
      </c>
    </row>
    <row r="24" spans="2:23" x14ac:dyDescent="0.3">
      <c r="B24" s="8">
        <v>100</v>
      </c>
      <c r="C24" s="8">
        <v>100.1906577116051</v>
      </c>
      <c r="D24" s="8">
        <v>100.38167892684014</v>
      </c>
      <c r="E24" s="8">
        <v>100.57306433875281</v>
      </c>
      <c r="F24" s="8">
        <v>100.76481464171219</v>
      </c>
      <c r="G24" s="8">
        <v>100.95693053141119</v>
      </c>
      <c r="H24" s="8">
        <v>101.14941270486912</v>
      </c>
      <c r="I24" s="8">
        <v>101.34226186043422</v>
      </c>
      <c r="J24" s="8">
        <v>101.53547869778616</v>
      </c>
      <c r="K24" s="8">
        <v>101.72906391793863</v>
      </c>
      <c r="L24" s="8">
        <v>101.92301822324185</v>
      </c>
      <c r="M24" s="8">
        <v>102.11734231738512</v>
      </c>
      <c r="N24" s="8">
        <v>102.31203690539938</v>
      </c>
      <c r="O24" s="8">
        <v>102.50710269365977</v>
      </c>
      <c r="P24" s="8">
        <v>102.70254038988818</v>
      </c>
      <c r="Q24" s="8">
        <v>102.89835070315584</v>
      </c>
      <c r="R24" s="8">
        <v>103.09453434388585</v>
      </c>
      <c r="S24" s="8">
        <v>103.29109202385584</v>
      </c>
      <c r="T24" s="8">
        <v>103.48802445620043</v>
      </c>
      <c r="U24" s="8">
        <v>103.68533235541395</v>
      </c>
      <c r="V24" s="8">
        <v>103.88301643735291</v>
      </c>
      <c r="W24" s="8">
        <v>104.08107741923871</v>
      </c>
    </row>
    <row r="25" spans="2:23" x14ac:dyDescent="0.3">
      <c r="C25" s="8">
        <v>91.157048766753789</v>
      </c>
      <c r="D25" s="8">
        <v>91.33084670989922</v>
      </c>
      <c r="E25" s="8">
        <v>91.504976012225853</v>
      </c>
      <c r="F25" s="8">
        <v>91.679437305495554</v>
      </c>
      <c r="G25" s="8">
        <v>91.854231222674628</v>
      </c>
      <c r="H25" s="8">
        <v>92.029358397936235</v>
      </c>
      <c r="I25" s="8">
        <v>92.204819466662599</v>
      </c>
      <c r="J25" s="8">
        <v>92.38061506544733</v>
      </c>
      <c r="K25" s="8">
        <v>92.556745832097818</v>
      </c>
      <c r="L25" s="8">
        <v>92.733212405637445</v>
      </c>
      <c r="M25" s="8">
        <v>92.910015426307908</v>
      </c>
      <c r="N25" s="8">
        <v>93.08715553557164</v>
      </c>
      <c r="O25" s="8">
        <v>93.264633376114034</v>
      </c>
      <c r="P25" s="8">
        <v>93.442449591845815</v>
      </c>
      <c r="Q25" s="8">
        <v>93.620604827905368</v>
      </c>
      <c r="R25" s="8">
        <v>93.799099730661098</v>
      </c>
      <c r="S25" s="8">
        <v>93.977934947713763</v>
      </c>
      <c r="T25" s="8">
        <v>94.157111127898787</v>
      </c>
      <c r="U25" s="8">
        <v>94.336628921288707</v>
      </c>
      <c r="V25" s="8">
        <v>94.516488979195415</v>
      </c>
      <c r="W25" s="8">
        <v>94.696691954172636</v>
      </c>
    </row>
    <row r="26" spans="2:23" x14ac:dyDescent="0.3">
      <c r="D26" s="8">
        <v>83.096075398643279</v>
      </c>
      <c r="E26" s="8">
        <v>83.254504474431954</v>
      </c>
      <c r="F26" s="8">
        <v>83.413235607471066</v>
      </c>
      <c r="G26" s="8">
        <v>83.572269373656027</v>
      </c>
      <c r="H26" s="8">
        <v>83.731606349980296</v>
      </c>
      <c r="I26" s="8">
        <v>83.89124711453735</v>
      </c>
      <c r="J26" s="8">
        <v>84.051192246522888</v>
      </c>
      <c r="K26" s="8">
        <v>84.211442326236906</v>
      </c>
      <c r="L26" s="8">
        <v>84.371997935085759</v>
      </c>
      <c r="M26" s="8">
        <v>84.532859655584275</v>
      </c>
      <c r="N26" s="8">
        <v>84.694028071357948</v>
      </c>
      <c r="O26" s="8">
        <v>84.855503767144981</v>
      </c>
      <c r="P26" s="8">
        <v>85.017287328798389</v>
      </c>
      <c r="Q26" s="8">
        <v>85.179379343288204</v>
      </c>
      <c r="R26" s="8">
        <v>85.341780398703534</v>
      </c>
      <c r="S26" s="8">
        <v>85.504491084254752</v>
      </c>
      <c r="T26" s="8">
        <v>85.667511990275571</v>
      </c>
      <c r="U26" s="8">
        <v>85.830843708225245</v>
      </c>
      <c r="V26" s="8">
        <v>85.99448683069069</v>
      </c>
      <c r="W26" s="8">
        <v>86.158441951388639</v>
      </c>
    </row>
    <row r="27" spans="2:23" x14ac:dyDescent="0.3">
      <c r="E27" s="8">
        <v>75.747929974399725</v>
      </c>
      <c r="F27" s="8">
        <v>75.892349244277142</v>
      </c>
      <c r="G27" s="8">
        <v>76.037043860629623</v>
      </c>
      <c r="H27" s="8">
        <v>76.182014348426463</v>
      </c>
      <c r="I27" s="8">
        <v>76.327261233637842</v>
      </c>
      <c r="J27" s="8">
        <v>76.472785043236726</v>
      </c>
      <c r="K27" s="8">
        <v>76.618586305200836</v>
      </c>
      <c r="L27" s="8">
        <v>76.764665548514515</v>
      </c>
      <c r="M27" s="8">
        <v>76.911023303170609</v>
      </c>
      <c r="N27" s="8">
        <v>77.057660100172484</v>
      </c>
      <c r="O27" s="8">
        <v>77.204576471535901</v>
      </c>
      <c r="P27" s="8">
        <v>77.351772950290936</v>
      </c>
      <c r="Q27" s="8">
        <v>77.499250070483924</v>
      </c>
      <c r="R27" s="8">
        <v>77.647008367179424</v>
      </c>
      <c r="S27" s="8">
        <v>77.795048376462105</v>
      </c>
      <c r="T27" s="8">
        <v>77.94337063543874</v>
      </c>
      <c r="U27" s="8">
        <v>78.091975682240147</v>
      </c>
      <c r="V27" s="8">
        <v>78.240864056023099</v>
      </c>
      <c r="W27" s="8">
        <v>78.390036296972383</v>
      </c>
    </row>
    <row r="28" spans="2:23" x14ac:dyDescent="0.3">
      <c r="F28" s="8">
        <v>69.049577466570057</v>
      </c>
      <c r="G28" s="8">
        <v>69.1812258108408</v>
      </c>
      <c r="H28" s="8">
        <v>69.313125152832114</v>
      </c>
      <c r="I28" s="8">
        <v>69.445275971090481</v>
      </c>
      <c r="J28" s="8">
        <v>69.577678745074792</v>
      </c>
      <c r="K28" s="8">
        <v>69.710333955158092</v>
      </c>
      <c r="L28" s="8">
        <v>69.843242082629274</v>
      </c>
      <c r="M28" s="8">
        <v>69.976403609694813</v>
      </c>
      <c r="N28" s="8">
        <v>70.109819019480582</v>
      </c>
      <c r="O28" s="8">
        <v>70.243488796033603</v>
      </c>
      <c r="P28" s="8">
        <v>70.377413424323692</v>
      </c>
      <c r="Q28" s="8">
        <v>70.511593390245366</v>
      </c>
      <c r="R28" s="8">
        <v>70.646029180619493</v>
      </c>
      <c r="S28" s="8">
        <v>70.780721283195135</v>
      </c>
      <c r="T28" s="8">
        <v>70.915670186651255</v>
      </c>
      <c r="U28" s="8">
        <v>71.050876380598538</v>
      </c>
      <c r="V28" s="8">
        <v>71.186340355581137</v>
      </c>
      <c r="W28" s="8">
        <v>71.322062603078521</v>
      </c>
    </row>
    <row r="29" spans="2:23" x14ac:dyDescent="0.3">
      <c r="G29" s="8">
        <v>62.943557004438688</v>
      </c>
      <c r="H29" s="8">
        <v>63.063563749826216</v>
      </c>
      <c r="I29" s="8">
        <v>63.183799297328257</v>
      </c>
      <c r="J29" s="8">
        <v>63.304264083173685</v>
      </c>
      <c r="K29" s="8">
        <v>63.424958544423106</v>
      </c>
      <c r="L29" s="8">
        <v>63.545883118970387</v>
      </c>
      <c r="M29" s="8">
        <v>63.667038245544262</v>
      </c>
      <c r="N29" s="8">
        <v>63.788424363709936</v>
      </c>
      <c r="O29" s="8">
        <v>63.910041913870735</v>
      </c>
      <c r="P29" s="8">
        <v>64.03189133726957</v>
      </c>
      <c r="Q29" s="8">
        <v>64.153973075990677</v>
      </c>
      <c r="R29" s="8">
        <v>64.276287572961095</v>
      </c>
      <c r="S29" s="8">
        <v>64.398835271952422</v>
      </c>
      <c r="T29" s="8">
        <v>64.521616617582268</v>
      </c>
      <c r="U29" s="8">
        <v>64.644632055315952</v>
      </c>
      <c r="V29" s="8">
        <v>64.767882031468133</v>
      </c>
      <c r="W29" s="8">
        <v>64.891366993204443</v>
      </c>
    </row>
    <row r="30" spans="2:23" x14ac:dyDescent="0.3">
      <c r="H30" s="8">
        <v>57.377488954065655</v>
      </c>
      <c r="I30" s="8">
        <v>57.486883561481946</v>
      </c>
      <c r="J30" s="8">
        <v>57.596486738153338</v>
      </c>
      <c r="K30" s="8">
        <v>57.706298881733233</v>
      </c>
      <c r="L30" s="8">
        <v>57.816320390633145</v>
      </c>
      <c r="M30" s="8">
        <v>57.926551664024196</v>
      </c>
      <c r="N30" s="8">
        <v>58.036993101838547</v>
      </c>
      <c r="O30" s="8">
        <v>58.147645104770916</v>
      </c>
      <c r="P30" s="8">
        <v>58.258508074279924</v>
      </c>
      <c r="Q30" s="8">
        <v>58.369582412589622</v>
      </c>
      <c r="R30" s="8">
        <v>58.480868522690898</v>
      </c>
      <c r="S30" s="8">
        <v>58.592366808343051</v>
      </c>
      <c r="T30" s="8">
        <v>58.704077674075108</v>
      </c>
      <c r="U30" s="8">
        <v>58.816001525187367</v>
      </c>
      <c r="V30" s="8">
        <v>58.928138767752891</v>
      </c>
      <c r="W30" s="8">
        <v>59.040489808618986</v>
      </c>
    </row>
    <row r="31" spans="2:23" x14ac:dyDescent="0.3">
      <c r="I31" s="8">
        <v>52.303625586996397</v>
      </c>
      <c r="J31" s="8">
        <v>52.40334648262705</v>
      </c>
      <c r="K31" s="8">
        <v>52.503257503835314</v>
      </c>
      <c r="L31" s="8">
        <v>52.603359013110257</v>
      </c>
      <c r="M31" s="8">
        <v>52.703651373632063</v>
      </c>
      <c r="N31" s="8">
        <v>52.80413494927334</v>
      </c>
      <c r="O31" s="8">
        <v>52.904810104600486</v>
      </c>
      <c r="P31" s="8">
        <v>53.005677204874942</v>
      </c>
      <c r="Q31" s="8">
        <v>53.106736616054548</v>
      </c>
      <c r="R31" s="8">
        <v>53.207988704794843</v>
      </c>
      <c r="S31" s="8">
        <v>53.309433838450509</v>
      </c>
      <c r="T31" s="8">
        <v>53.411072385076537</v>
      </c>
      <c r="U31" s="8">
        <v>53.512904713429656</v>
      </c>
      <c r="V31" s="8">
        <v>53.614931192969678</v>
      </c>
      <c r="W31" s="8">
        <v>53.717152193860862</v>
      </c>
    </row>
    <row r="32" spans="2:23" x14ac:dyDescent="0.3">
      <c r="J32" s="8">
        <v>47.678441483118604</v>
      </c>
      <c r="K32" s="8">
        <v>47.76934410857929</v>
      </c>
      <c r="L32" s="8">
        <v>47.860420046905475</v>
      </c>
      <c r="M32" s="8">
        <v>47.951669628531484</v>
      </c>
      <c r="N32" s="8">
        <v>48.043093184521666</v>
      </c>
      <c r="O32" s="8">
        <v>48.134691046571568</v>
      </c>
      <c r="P32" s="8">
        <v>48.226463547009153</v>
      </c>
      <c r="Q32" s="8">
        <v>48.318411018795949</v>
      </c>
      <c r="R32" s="8">
        <v>48.410533795528316</v>
      </c>
      <c r="S32" s="8">
        <v>48.502832211438687</v>
      </c>
      <c r="T32" s="8">
        <v>48.595306601396679</v>
      </c>
      <c r="U32" s="8">
        <v>48.687957300910369</v>
      </c>
      <c r="V32" s="8">
        <v>48.780784646127536</v>
      </c>
      <c r="W32" s="8">
        <v>48.873788973836874</v>
      </c>
    </row>
    <row r="33" spans="11:23" x14ac:dyDescent="0.3">
      <c r="K33" s="8">
        <v>43.462260153994592</v>
      </c>
      <c r="L33" s="8">
        <v>43.545124304616053</v>
      </c>
      <c r="M33" s="8">
        <v>43.62814644213082</v>
      </c>
      <c r="N33" s="8">
        <v>43.711326867753094</v>
      </c>
      <c r="O33" s="8">
        <v>43.794665883271371</v>
      </c>
      <c r="P33" s="8">
        <v>43.878163791049516</v>
      </c>
      <c r="Q33" s="8">
        <v>43.961820894027873</v>
      </c>
      <c r="R33" s="8">
        <v>44.045637495724343</v>
      </c>
      <c r="S33" s="8">
        <v>44.129613900235569</v>
      </c>
      <c r="T33" s="8">
        <v>44.213750412237928</v>
      </c>
      <c r="U33" s="8">
        <v>44.298047336988681</v>
      </c>
      <c r="V33" s="8">
        <v>44.382504980327113</v>
      </c>
      <c r="W33" s="8">
        <v>44.467123648675638</v>
      </c>
    </row>
    <row r="34" spans="11:23" x14ac:dyDescent="0.3">
      <c r="L34" s="8">
        <v>39.618913683710247</v>
      </c>
      <c r="M34" s="8">
        <v>39.694450197902398</v>
      </c>
      <c r="N34" s="8">
        <v>39.770130728283938</v>
      </c>
      <c r="O34" s="8">
        <v>39.84595554943283</v>
      </c>
      <c r="P34" s="8">
        <v>39.921924936450566</v>
      </c>
      <c r="Q34" s="8">
        <v>39.99803916496311</v>
      </c>
      <c r="R34" s="8">
        <v>40.074298511121931</v>
      </c>
      <c r="S34" s="8">
        <v>40.15070325160503</v>
      </c>
      <c r="T34" s="8">
        <v>40.227253663617901</v>
      </c>
      <c r="U34" s="8">
        <v>40.303950024894519</v>
      </c>
      <c r="V34" s="8">
        <v>40.380792613698432</v>
      </c>
      <c r="W34" s="8">
        <v>40.457781708823724</v>
      </c>
    </row>
    <row r="35" spans="11:23" x14ac:dyDescent="0.3">
      <c r="M35" s="8">
        <v>36.115432467517827</v>
      </c>
      <c r="N35" s="8">
        <v>36.184289324596676</v>
      </c>
      <c r="O35" s="8">
        <v>36.253277462583512</v>
      </c>
      <c r="P35" s="8">
        <v>36.322397131775524</v>
      </c>
      <c r="Q35" s="8">
        <v>36.391648582947084</v>
      </c>
      <c r="R35" s="8">
        <v>36.461032067350693</v>
      </c>
      <c r="S35" s="8">
        <v>36.530547836717901</v>
      </c>
      <c r="T35" s="8">
        <v>36.600196143260199</v>
      </c>
      <c r="U35" s="8">
        <v>36.669977239669905</v>
      </c>
      <c r="V35" s="8">
        <v>36.739891379121161</v>
      </c>
      <c r="W35" s="8">
        <v>36.809938815270804</v>
      </c>
    </row>
    <row r="36" spans="11:23" x14ac:dyDescent="0.3">
      <c r="N36" s="8">
        <v>32.921762386739253</v>
      </c>
      <c r="O36" s="8">
        <v>32.984530265525869</v>
      </c>
      <c r="P36" s="8">
        <v>33.047417816113814</v>
      </c>
      <c r="Q36" s="8">
        <v>33.110425266666596</v>
      </c>
      <c r="R36" s="8">
        <v>33.17355284578273</v>
      </c>
      <c r="S36" s="8">
        <v>33.236800782496601</v>
      </c>
      <c r="T36" s="8">
        <v>33.300169306279258</v>
      </c>
      <c r="U36" s="8">
        <v>33.363658647039223</v>
      </c>
      <c r="V36" s="8">
        <v>33.427269035123402</v>
      </c>
      <c r="W36" s="8">
        <v>33.491000701317859</v>
      </c>
    </row>
    <row r="37" spans="11:23" x14ac:dyDescent="0.3">
      <c r="O37" s="8">
        <v>30.010506993754696</v>
      </c>
      <c r="P37" s="8">
        <v>30.067724339630079</v>
      </c>
      <c r="Q37" s="8">
        <v>30.125050774787752</v>
      </c>
      <c r="R37" s="8">
        <v>30.182486507214829</v>
      </c>
      <c r="S37" s="8">
        <v>30.240031745294996</v>
      </c>
      <c r="T37" s="8">
        <v>30.297686697809233</v>
      </c>
      <c r="U37" s="8">
        <v>30.355451573936548</v>
      </c>
      <c r="V37" s="8">
        <v>30.413326583254808</v>
      </c>
      <c r="W37" s="8">
        <v>30.471311935741436</v>
      </c>
    </row>
    <row r="38" spans="11:23" x14ac:dyDescent="0.3">
      <c r="P38" s="8">
        <v>27.356692495447025</v>
      </c>
      <c r="Q38" s="8">
        <v>27.408850139329694</v>
      </c>
      <c r="R38" s="8">
        <v>27.461107225782602</v>
      </c>
      <c r="S38" s="8">
        <v>27.513463944400698</v>
      </c>
      <c r="T38" s="8">
        <v>27.565920485140389</v>
      </c>
      <c r="U38" s="8">
        <v>27.618477038320229</v>
      </c>
      <c r="V38" s="8">
        <v>27.671133794621667</v>
      </c>
      <c r="W38" s="8">
        <v>27.723890945089686</v>
      </c>
    </row>
    <row r="39" spans="11:23" x14ac:dyDescent="0.3">
      <c r="Q39" s="8">
        <v>24.937553519045522</v>
      </c>
      <c r="R39" s="8">
        <v>24.985098887915225</v>
      </c>
      <c r="S39" s="8">
        <v>25.03273490569719</v>
      </c>
      <c r="T39" s="8">
        <v>25.080461745220564</v>
      </c>
      <c r="U39" s="8">
        <v>25.128279579643987</v>
      </c>
      <c r="V39" s="8">
        <v>25.176188582456266</v>
      </c>
      <c r="W39" s="8">
        <v>25.224188927476966</v>
      </c>
    </row>
    <row r="40" spans="11:23" x14ac:dyDescent="0.3">
      <c r="R40" s="8">
        <v>22.732337822591646</v>
      </c>
      <c r="S40" s="8">
        <v>22.775678777678536</v>
      </c>
      <c r="T40" s="8">
        <v>22.819102365638585</v>
      </c>
      <c r="U40" s="8">
        <v>22.862608744017731</v>
      </c>
      <c r="V40" s="8">
        <v>22.906198070662303</v>
      </c>
      <c r="W40" s="8">
        <v>22.949870503719563</v>
      </c>
    </row>
    <row r="41" spans="11:23" x14ac:dyDescent="0.3">
      <c r="S41" s="8">
        <v>20.72212827476308</v>
      </c>
      <c r="T41" s="8">
        <v>20.761636610327614</v>
      </c>
      <c r="U41" s="8">
        <v>20.801220271580625</v>
      </c>
      <c r="V41" s="8">
        <v>20.840879402136359</v>
      </c>
      <c r="W41" s="8">
        <v>20.880614145882852</v>
      </c>
    </row>
    <row r="42" spans="11:23" x14ac:dyDescent="0.3">
      <c r="T42" s="8">
        <v>18.889680576935053</v>
      </c>
      <c r="U42" s="8">
        <v>18.925695209652545</v>
      </c>
      <c r="V42" s="8">
        <v>18.961778507044627</v>
      </c>
      <c r="W42" s="8">
        <v>18.997930600025786</v>
      </c>
    </row>
    <row r="43" spans="11:23" x14ac:dyDescent="0.3">
      <c r="U43" s="8">
        <v>17.219275335400699</v>
      </c>
      <c r="V43" s="8">
        <v>17.252105211710159</v>
      </c>
      <c r="W43" s="8">
        <v>17.284997680710507</v>
      </c>
    </row>
    <row r="44" spans="11:23" x14ac:dyDescent="0.3">
      <c r="V44" s="8">
        <v>15.696583214772826</v>
      </c>
      <c r="W44" s="8">
        <v>15.726509961130299</v>
      </c>
    </row>
    <row r="45" spans="11:23" x14ac:dyDescent="0.3">
      <c r="W45" s="8">
        <v>14.308542015804552</v>
      </c>
    </row>
  </sheetData>
  <dataConsolidate/>
  <conditionalFormatting sqref="A1:XFD1048576">
    <cfRule type="colorScale" priority="1">
      <colorScale>
        <cfvo type="min"/>
        <cfvo type="percentile" val="50"/>
        <cfvo type="max"/>
        <color theme="5"/>
        <color theme="7" tint="0.39997558519241921"/>
        <color theme="9"/>
      </colorScale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38</vt:i4>
      </vt:variant>
    </vt:vector>
  </HeadingPairs>
  <TitlesOfParts>
    <vt:vector size="41" baseType="lpstr">
      <vt:lpstr>main</vt:lpstr>
      <vt:lpstr>analysis</vt:lpstr>
      <vt:lpstr>graph</vt:lpstr>
      <vt:lpstr>BS_analysis</vt:lpstr>
      <vt:lpstr>bs_price_analysis</vt:lpstr>
      <vt:lpstr>convergence_trinomial_BS</vt:lpstr>
      <vt:lpstr>delta</vt:lpstr>
      <vt:lpstr>dividend_ex_date</vt:lpstr>
      <vt:lpstr>dividend_price</vt:lpstr>
      <vt:lpstr>exercise_type</vt:lpstr>
      <vt:lpstr>gamma</vt:lpstr>
      <vt:lpstr>interest_rate</vt:lpstr>
      <vt:lpstr>maturity_date</vt:lpstr>
      <vt:lpstr>n_steps</vt:lpstr>
      <vt:lpstr>option_type</vt:lpstr>
      <vt:lpstr>plot</vt:lpstr>
      <vt:lpstr>plot_graph</vt:lpstr>
      <vt:lpstr>plot_object</vt:lpstr>
      <vt:lpstr>plot_time</vt:lpstr>
      <vt:lpstr>price_analysis</vt:lpstr>
      <vt:lpstr>price_BS</vt:lpstr>
      <vt:lpstr>price_no_recursif</vt:lpstr>
      <vt:lpstr>price_non_recursif</vt:lpstr>
      <vt:lpstr>price_recursif</vt:lpstr>
      <vt:lpstr>pricing_date</vt:lpstr>
      <vt:lpstr>pruning</vt:lpstr>
      <vt:lpstr>pruning_value</vt:lpstr>
      <vt:lpstr>spot_price</vt:lpstr>
      <vt:lpstr>spread</vt:lpstr>
      <vt:lpstr>spread_steps</vt:lpstr>
      <vt:lpstr>start_plot</vt:lpstr>
      <vt:lpstr>steps_analysis</vt:lpstr>
      <vt:lpstr>strike_price</vt:lpstr>
      <vt:lpstr>tab_steps</vt:lpstr>
      <vt:lpstr>time_analysis</vt:lpstr>
      <vt:lpstr>time_BS</vt:lpstr>
      <vt:lpstr>time_no_recursif</vt:lpstr>
      <vt:lpstr>time_non_recursif</vt:lpstr>
      <vt:lpstr>time_recursif</vt:lpstr>
      <vt:lpstr>vega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Titouan Cadiou</dc:creator>
  <cp:lastModifiedBy>Titouan Cadiou</cp:lastModifiedBy>
  <dcterms:created xsi:type="dcterms:W3CDTF">2023-10-18T21:19:38Z</dcterms:created>
  <dcterms:modified xsi:type="dcterms:W3CDTF">2023-11-17T17:48:16Z</dcterms:modified>
</cp:coreProperties>
</file>